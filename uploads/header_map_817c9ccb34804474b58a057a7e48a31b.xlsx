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rrr29\Downloads\"/>
    </mc:Choice>
  </mc:AlternateContent>
  <xr:revisionPtr revIDLastSave="0" documentId="13_ncr:1_{40F9E5FB-4C0F-4F57-8879-7C9058FEE311}" xr6:coauthVersionLast="47" xr6:coauthVersionMax="47" xr10:uidLastSave="{00000000-0000-0000-0000-000000000000}"/>
  <bookViews>
    <workbookView minimized="1" xWindow="2120" yWindow="2120" windowWidth="19200" windowHeight="1117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Mapping'!$A$3:$O$114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B14" i="3"/>
  <c r="B13" i="3"/>
  <c r="D10" i="3"/>
  <c r="B10" i="3"/>
  <c r="B21" i="3"/>
  <c r="B28" i="3"/>
  <c r="B9" i="3"/>
  <c r="B19" i="3"/>
  <c r="B8" i="3"/>
  <c r="B15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7" i="3"/>
  <c r="B17" i="3"/>
  <c r="B16" i="3"/>
  <c r="B18" i="3"/>
  <c r="B32" i="3"/>
  <c r="B33" i="3"/>
  <c r="B34" i="3"/>
  <c r="B20" i="3"/>
  <c r="B35" i="3"/>
  <c r="B36" i="3"/>
  <c r="B37" i="3"/>
  <c r="B38" i="3"/>
  <c r="B39" i="3"/>
  <c r="B12" i="3"/>
  <c r="B40" i="3"/>
  <c r="B22" i="3"/>
  <c r="B23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27" i="3"/>
  <c r="B59" i="3"/>
  <c r="B60" i="3"/>
  <c r="B61" i="3"/>
  <c r="B62" i="3"/>
  <c r="B63" i="3"/>
  <c r="B24" i="3"/>
  <c r="B25" i="3"/>
  <c r="B26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" i="3"/>
  <c r="B5" i="3"/>
  <c r="B29" i="3"/>
  <c r="B6" i="3"/>
  <c r="B4" i="3"/>
</calcChain>
</file>

<file path=xl/sharedStrings.xml><?xml version="1.0" encoding="utf-8"?>
<sst xmlns="http://schemas.openxmlformats.org/spreadsheetml/2006/main" count="1673" uniqueCount="331">
  <si>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</si>
  <si>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</si>
  <si>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</si>
  <si>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</si>
  <si>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</si>
  <si>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</si>
  <si>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</si>
  <si>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</si>
  <si>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</si>
  <si>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</si>
  <si>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</si>
  <si>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Column Sequence</t>
  </si>
  <si>
    <t>Standardized Column</t>
  </si>
  <si>
    <t>Raw Column Name</t>
  </si>
  <si>
    <t>All Column Name</t>
  </si>
  <si>
    <t>K1 Import</t>
  </si>
  <si>
    <t>K8 Import</t>
  </si>
  <si>
    <t>K8 IMPORT</t>
  </si>
  <si>
    <t>K1</t>
  </si>
  <si>
    <t>K1 AIR</t>
  </si>
  <si>
    <t>K1 SEA</t>
  </si>
  <si>
    <t>K8 AIR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</si>
  <si>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</si>
  <si>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</si>
  <si>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</si>
  <si>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</si>
  <si>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</si>
  <si>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</si>
  <si>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</si>
  <si>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</si>
  <si>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</si>
  <si>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</si>
  <si>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</si>
  <si>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</si>
  <si>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r>
      <rPr>
        <sz val="11"/>
        <color rgb="FF000000"/>
        <rFont val="Aptos Narrow"/>
        <family val="2"/>
      </rPr>
      <t>if carrier is blank, vlookup with pbi (HAWB Validation file) ; if carrier is not blank, compare with pbi, if it is different, take the</t>
    </r>
    <r>
      <rPr>
        <b/>
        <sz val="11"/>
        <color rgb="FF00B050"/>
        <rFont val="Aptos Narrow"/>
        <family val="2"/>
      </rPr>
      <t xml:space="preserve"> pbi (HAWB validation file) value as the correct one</t>
    </r>
  </si>
  <si>
    <t>MASTER AWB</t>
  </si>
  <si>
    <t>MASTER AWB/OBL</t>
  </si>
  <si>
    <t>OCEAN BL</t>
  </si>
  <si>
    <t>MAWB</t>
  </si>
  <si>
    <t>HAWB</t>
  </si>
  <si>
    <t>Vận đơn</t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</si>
  <si>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</si>
  <si>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</si>
  <si>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</si>
  <si>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</si>
  <si>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</si>
  <si>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</si>
  <si>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</si>
  <si>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</si>
  <si>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</si>
  <si>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</si>
  <si>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</si>
  <si>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</si>
  <si>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</si>
  <si>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</si>
  <si>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</si>
  <si>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</si>
  <si>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</t>
  </si>
  <si>
    <t>Consignor Name</t>
  </si>
  <si>
    <t>Tên đối tác</t>
  </si>
  <si>
    <t>Consignor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</si>
  <si>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</si>
  <si>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</si>
  <si>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</si>
  <si>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</si>
  <si>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</si>
  <si>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</si>
  <si>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</si>
  <si>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</si>
  <si>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</si>
  <si>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</si>
  <si>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</si>
  <si>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</si>
  <si>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</si>
  <si>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</si>
  <si>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</si>
  <si>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</si>
  <si>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</si>
  <si>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</si>
  <si>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</si>
  <si>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</si>
  <si>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</si>
  <si>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</si>
  <si>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</si>
  <si>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</si>
  <si>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</si>
  <si>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</si>
  <si>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</si>
  <si>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</si>
  <si>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</si>
  <si>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</si>
  <si>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</si>
  <si>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</si>
  <si>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</si>
  <si>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</si>
  <si>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</si>
  <si>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</si>
  <si>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</si>
  <si>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</si>
  <si>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</si>
  <si>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</si>
  <si>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</si>
  <si>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</si>
  <si>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</si>
  <si>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</si>
  <si>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</si>
  <si>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</si>
  <si>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</si>
  <si>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</si>
  <si>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</si>
  <si>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</si>
  <si>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</si>
  <si>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</si>
  <si>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</si>
  <si>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</si>
  <si>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</si>
  <si>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</si>
  <si>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</si>
  <si>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</si>
  <si>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</si>
  <si>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</si>
  <si>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</si>
  <si>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</si>
  <si>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</si>
  <si>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</si>
  <si>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</si>
  <si>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</si>
  <si>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</si>
  <si>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</si>
  <si>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</si>
  <si>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</si>
  <si>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</si>
  <si>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</si>
  <si>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</si>
  <si>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</si>
  <si>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</si>
  <si>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</si>
  <si>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</si>
  <si>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</si>
  <si>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</si>
  <si>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</si>
  <si>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</si>
  <si>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</si>
  <si>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</si>
  <si>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</si>
  <si>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</si>
  <si>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</si>
  <si>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</si>
  <si>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</si>
  <si>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</si>
  <si>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</si>
  <si>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</si>
  <si>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</si>
  <si>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</si>
  <si>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</si>
  <si>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</si>
  <si>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</si>
  <si>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</si>
  <si>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</si>
  <si>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</si>
  <si>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</si>
  <si>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</si>
  <si>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</si>
  <si>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</si>
  <si>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</si>
  <si>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</si>
  <si>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</si>
  <si>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</si>
  <si>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</si>
  <si>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</si>
  <si>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</si>
  <si>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</si>
  <si>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</si>
  <si>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</si>
  <si>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</si>
  <si>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</si>
  <si>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</si>
  <si>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</si>
  <si>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</si>
  <si>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</si>
  <si>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</si>
  <si>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</si>
  <si>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</si>
  <si>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</si>
  <si>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</si>
  <si>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</si>
  <si>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</si>
  <si>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</si>
  <si>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</si>
  <si>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</si>
  <si>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</si>
  <si>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</si>
  <si>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</si>
  <si>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</si>
  <si>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</si>
  <si>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</si>
  <si>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</si>
  <si>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</si>
  <si>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</si>
  <si>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</si>
  <si>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</si>
  <si>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</si>
  <si>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</si>
  <si>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</si>
  <si>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</si>
  <si>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</si>
  <si>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</si>
  <si>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</si>
  <si>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</si>
  <si>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</si>
  <si>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</si>
  <si>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</si>
  <si>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</si>
  <si>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</si>
  <si>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</si>
  <si>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</si>
  <si>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</si>
  <si>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</si>
  <si>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</si>
  <si>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</si>
  <si>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</si>
  <si>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</si>
  <si>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</si>
  <si>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</si>
  <si>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</si>
  <si>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</si>
  <si>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</si>
  <si>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</si>
  <si>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</si>
  <si>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</si>
  <si>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</si>
  <si>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</si>
  <si>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</si>
  <si>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</si>
  <si>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</si>
  <si>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</si>
  <si>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</si>
  <si>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</si>
  <si>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</si>
  <si>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</si>
  <si>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</si>
  <si>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</si>
  <si>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</si>
  <si>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</si>
  <si>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</si>
  <si>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</si>
  <si>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</si>
  <si>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</si>
  <si>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</si>
  <si>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</si>
  <si>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</si>
  <si>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</si>
  <si>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</si>
  <si>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</si>
  <si>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</si>
  <si>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</si>
  <si>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</si>
  <si>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</si>
  <si>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</si>
  <si>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</si>
  <si>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</si>
  <si>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</si>
  <si>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</si>
  <si>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</si>
  <si>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</si>
  <si>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</si>
  <si>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</si>
  <si>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</si>
  <si>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</si>
  <si>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</si>
  <si>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</si>
  <si>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</si>
  <si>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</si>
  <si>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</si>
  <si>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</si>
  <si>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</si>
  <si>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</si>
  <si>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</si>
  <si>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</si>
  <si>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</si>
  <si>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</si>
  <si>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</si>
  <si>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</si>
  <si>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</si>
  <si>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</si>
  <si>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</si>
  <si>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</si>
  <si>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</si>
  <si>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</si>
  <si>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</si>
  <si>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</si>
  <si>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</si>
  <si>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</si>
  <si>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</si>
  <si>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</si>
  <si>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</si>
  <si>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</si>
  <si>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</si>
  <si>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</si>
  <si>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</si>
  <si>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</si>
  <si>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</si>
  <si>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</si>
  <si>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</si>
  <si>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</si>
  <si>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</si>
  <si>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</si>
  <si>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</si>
  <si>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</si>
  <si>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</si>
  <si>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</si>
  <si>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</si>
  <si>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</si>
  <si>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</si>
  <si>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</si>
  <si>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</si>
  <si>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</si>
  <si>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</si>
  <si>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</si>
  <si>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</si>
  <si>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</si>
  <si>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</si>
  <si>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</si>
  <si>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</si>
  <si>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</si>
  <si>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</si>
  <si>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Column1</t>
  </si>
  <si>
    <t xml:space="preserve">K1 </t>
  </si>
  <si>
    <t>k8 air</t>
  </si>
  <si>
    <t>UPS Tracking number</t>
    <phoneticPr fontId="11" type="noConversion"/>
  </si>
  <si>
    <t>Consignor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</si>
</sst>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sz val="11"/>
      <color rgb="FF000000"/>
      <name val="Aptos Narrow"/>
      <family val="2"/>
    </font>
    <font>
      <b/>
      <sz val="11"/>
      <color rgb="FF00B050"/>
      <name val="Aptos Narrow"/>
      <family val="2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Q115"/>
  <sheetViews>
    <sheetView tabSelected="1" topLeftCell="F1" workbookViewId="0">
      <pane ySplit="3" topLeftCell="A4" activePane="bottomLeft" state="frozen"/>
      <selection pane="bottomLeft" activeCell="G14" sqref="G14"/>
    </sheetView>
  </sheetViews>
  <sheetFormatPr defaultRowHeight="14.5" customHeight="1" outlineLevelRow="1" outlineLevelCol="1" x14ac:dyDescent="0.45"/>
  <cols>
    <col min="1" max="1" width="10.1640625" customWidth="1"/>
    <col min="2" max="2" width="27.1640625" customWidth="1"/>
    <col min="3" max="3" width="20" customWidth="1" outlineLevel="1"/>
    <col min="4" max="4" width="28.25" customWidth="1"/>
    <col min="5" max="5" width="21.75" customWidth="1"/>
    <col min="6" max="6" width="26.83203125" bestFit="1" customWidth="1"/>
    <col min="7" max="8" width="32.1640625" style="7" bestFit="1" customWidth="1"/>
    <col min="9" max="9" width="31.75" bestFit="1" customWidth="1"/>
    <col min="10" max="12" width="33.25" bestFit="1" customWidth="1"/>
    <col min="13" max="13" width="31.75" bestFit="1" customWidth="1"/>
    <col min="14" max="14" width="29" customWidth="1"/>
    <col min="15" max="15" width="32.75" customWidth="1"/>
    <col min="17" max="17" width="147.75" customWidth="1"/>
  </cols>
  <sheetData>
    <row r="1" spans="1:17" s="9" customFormat="1" ht="17" x14ac:dyDescent="0.45">
      <c r="A1" s="53" t="s">
        <v>0</v>
      </c>
      <c r="B1" s="53"/>
      <c r="E1" s="35" t="s">
        <v>1</v>
      </c>
      <c r="F1" s="35" t="s">
        <v>1</v>
      </c>
      <c r="G1" s="42" t="s">
        <v>2</v>
      </c>
      <c r="H1" s="42" t="s">
        <v>2</v>
      </c>
      <c r="I1" s="42" t="s">
        <v>2</v>
      </c>
      <c r="J1" s="42" t="s">
        <v>2</v>
      </c>
      <c r="K1" s="42" t="s">
        <v>2</v>
      </c>
      <c r="L1" s="42" t="s">
        <v>2</v>
      </c>
      <c r="M1" s="43" t="s">
        <v>2</v>
      </c>
      <c r="N1" s="44" t="s">
        <v>3</v>
      </c>
      <c r="O1" s="46" t="s">
        <v>4</v>
      </c>
    </row>
    <row r="2" spans="1:17" s="9" customFormat="1" ht="17" x14ac:dyDescent="0.45">
      <c r="A2" s="53" t="s">
        <v>5</v>
      </c>
      <c r="B2" s="53"/>
      <c r="E2" s="36" t="s">
        <v>6</v>
      </c>
      <c r="F2" s="37" t="s">
        <v>7</v>
      </c>
      <c r="G2" s="38" t="s">
        <v>8</v>
      </c>
      <c r="H2" s="38" t="s">
        <v>8</v>
      </c>
      <c r="I2" s="39" t="s">
        <v>9</v>
      </c>
      <c r="J2" s="40" t="s">
        <v>9</v>
      </c>
      <c r="K2" s="39" t="s">
        <v>10</v>
      </c>
      <c r="L2" s="40" t="s">
        <v>10</v>
      </c>
      <c r="M2" s="41" t="s">
        <v>10</v>
      </c>
      <c r="N2" s="45" t="s">
        <v>3</v>
      </c>
      <c r="O2" s="47" t="s">
        <v>4</v>
      </c>
    </row>
    <row r="3" spans="1:17" s="9" customFormat="1" ht="33.75" customHeight="1" x14ac:dyDescent="0.45">
      <c r="A3" s="16" t="s">
        <v>11</v>
      </c>
      <c r="B3" s="18" t="s">
        <v>12</v>
      </c>
      <c r="C3" s="9" t="s">
        <v>13</v>
      </c>
      <c r="D3" s="5" t="s">
        <v>14</v>
      </c>
      <c r="E3" s="14" t="s">
        <v>6</v>
      </c>
      <c r="F3" s="34" t="s">
        <v>7</v>
      </c>
      <c r="G3" s="12" t="s">
        <v>15</v>
      </c>
      <c r="H3" s="12" t="s">
        <v>16</v>
      </c>
      <c r="I3" s="11" t="s">
        <v>17</v>
      </c>
      <c r="J3" s="13" t="s">
        <v>18</v>
      </c>
      <c r="K3" s="11" t="s">
        <v>19</v>
      </c>
      <c r="L3" s="13" t="s">
        <v>20</v>
      </c>
      <c r="M3" s="27" t="s">
        <v>21</v>
      </c>
      <c r="N3" s="33" t="s">
        <v>3</v>
      </c>
      <c r="O3" s="15" t="s">
        <v>4</v>
      </c>
    </row>
    <row r="4" spans="1:17" ht="17" x14ac:dyDescent="0.45">
      <c r="A4">
        <v>1</v>
      </c>
      <c r="B4" s="19" t="str">
        <f t="shared" ref="B4:B35" si="0">SUBSTITUTE(TRIM(C4),"  "," ")</f>
        <v>#</v>
      </c>
      <c r="C4" t="s">
        <v>22</v>
      </c>
      <c r="D4" t="str">
        <f>G4</f>
        <v>#</v>
      </c>
      <c r="E4" s="21" t="s">
        <v>23</v>
      </c>
      <c r="F4" s="31" t="s">
        <v>23</v>
      </c>
      <c r="G4" s="28" t="s">
        <v>22</v>
      </c>
      <c r="H4" s="28" t="s">
        <v>22</v>
      </c>
      <c r="I4" s="17"/>
      <c r="J4" s="6"/>
      <c r="K4" s="17" t="s">
        <v>22</v>
      </c>
      <c r="L4" s="6" t="s">
        <v>22</v>
      </c>
      <c r="M4" s="29" t="s">
        <v>22</v>
      </c>
      <c r="N4" s="9"/>
      <c r="O4" s="22"/>
    </row>
    <row r="5" spans="1:17" ht="17" x14ac:dyDescent="0.45">
      <c r="A5">
        <v>2</v>
      </c>
      <c r="B5" s="19" t="str">
        <f t="shared" si="0"/>
        <v>Form Type</v>
      </c>
      <c r="C5" t="s">
        <v>24</v>
      </c>
      <c r="D5" t="str">
        <f>G5</f>
        <v>Form Type</v>
      </c>
      <c r="E5" s="21"/>
      <c r="F5" s="31"/>
      <c r="G5" s="28" t="s">
        <v>24</v>
      </c>
      <c r="H5" s="28" t="s">
        <v>24</v>
      </c>
      <c r="I5" s="17" t="s">
        <v>24</v>
      </c>
      <c r="J5" s="6" t="s">
        <v>24</v>
      </c>
      <c r="K5" s="17" t="s">
        <v>24</v>
      </c>
      <c r="L5" s="6" t="s">
        <v>24</v>
      </c>
      <c r="M5" s="29" t="s">
        <v>24</v>
      </c>
      <c r="N5" s="9"/>
      <c r="O5" s="22"/>
    </row>
    <row r="6" spans="1:17" ht="17" x14ac:dyDescent="0.45">
      <c r="A6">
        <v>3</v>
      </c>
      <c r="B6" s="19" t="str">
        <f t="shared" si="0"/>
        <v>Declaration Type</v>
      </c>
      <c r="C6" t="s">
        <v>25</v>
      </c>
      <c r="D6" t="str">
        <f>G6</f>
        <v>Declaration Type</v>
      </c>
      <c r="E6" s="21"/>
      <c r="F6" s="31"/>
      <c r="G6" s="28" t="s">
        <v>25</v>
      </c>
      <c r="H6" s="28" t="s">
        <v>25</v>
      </c>
      <c r="I6" s="17" t="s">
        <v>25</v>
      </c>
      <c r="J6" s="9"/>
      <c r="K6" s="21"/>
      <c r="L6" s="9"/>
      <c r="M6" s="29" t="s">
        <v>25</v>
      </c>
      <c r="N6" s="9"/>
      <c r="O6" s="22"/>
    </row>
    <row r="7" spans="1:17" ht="17" x14ac:dyDescent="0.45">
      <c r="A7">
        <v>4</v>
      </c>
      <c r="B7" s="19" t="str">
        <f t="shared" si="0"/>
        <v>Declaration Date</v>
      </c>
      <c r="C7" t="s">
        <v>26</v>
      </c>
      <c r="D7" t="str">
        <f>G7</f>
        <v>Declaration Date</v>
      </c>
      <c r="E7" s="21"/>
      <c r="F7" s="31"/>
      <c r="G7" s="28" t="s">
        <v>26</v>
      </c>
      <c r="H7" s="28" t="s">
        <v>26</v>
      </c>
      <c r="I7" s="17" t="s">
        <v>26</v>
      </c>
      <c r="J7" s="6" t="s">
        <v>26</v>
      </c>
      <c r="K7" s="17" t="s">
        <v>26</v>
      </c>
      <c r="L7" s="6" t="s">
        <v>26</v>
      </c>
      <c r="M7" s="29" t="s">
        <v>26</v>
      </c>
      <c r="N7" s="9" t="s">
        <v>27</v>
      </c>
      <c r="O7" s="22" t="s">
        <v>27</v>
      </c>
    </row>
    <row r="8" spans="1:17" ht="17" x14ac:dyDescent="0.45">
      <c r="A8">
        <v>5</v>
      </c>
      <c r="B8" s="19" t="str">
        <f t="shared" si="0"/>
        <v>Customs Broker</v>
      </c>
      <c r="C8" t="s">
        <v>5</v>
      </c>
      <c r="D8" t="s">
        <v>5</v>
      </c>
      <c r="E8" s="21"/>
      <c r="F8" s="31"/>
      <c r="G8" s="30"/>
      <c r="H8" s="30"/>
      <c r="I8" s="21"/>
      <c r="J8" s="9"/>
      <c r="K8" s="21"/>
      <c r="L8" s="9"/>
      <c r="M8" s="31"/>
      <c r="N8" s="9" t="s">
        <v>5</v>
      </c>
      <c r="O8" s="22" t="s">
        <v>5</v>
      </c>
    </row>
    <row r="9" spans="1:17" ht="17" x14ac:dyDescent="0.45">
      <c r="A9">
        <v>6</v>
      </c>
      <c r="B9" s="19" t="str">
        <f t="shared" si="0"/>
        <v>Commodity Type</v>
      </c>
      <c r="C9" t="s">
        <v>28</v>
      </c>
      <c r="D9" t="s">
        <v>28</v>
      </c>
      <c r="E9" s="21"/>
      <c r="F9" s="31"/>
      <c r="G9" s="30"/>
      <c r="H9" s="30"/>
      <c r="I9" s="21"/>
      <c r="J9" s="9"/>
      <c r="K9" s="21"/>
      <c r="L9" s="9"/>
      <c r="M9" s="31"/>
      <c r="N9" s="9" t="s">
        <v>28</v>
      </c>
      <c r="O9" s="22" t="s">
        <v>28</v>
      </c>
    </row>
    <row r="10" spans="1:17" ht="17" x14ac:dyDescent="0.45">
      <c r="A10">
        <v>7</v>
      </c>
      <c r="B10" s="19" t="str">
        <f t="shared" si="0"/>
        <v>Mode of Transport</v>
      </c>
      <c r="C10" t="s">
        <v>29</v>
      </c>
      <c r="D10" t="str">
        <f>G10</f>
        <v>Mode of Transport</v>
      </c>
      <c r="E10" s="21" t="s">
        <v>30</v>
      </c>
      <c r="F10" s="31" t="s">
        <v>30</v>
      </c>
      <c r="G10" s="28" t="s">
        <v>29</v>
      </c>
      <c r="H10" s="28" t="s">
        <v>29</v>
      </c>
      <c r="I10" s="17" t="s">
        <v>29</v>
      </c>
      <c r="J10" s="6" t="s">
        <v>29</v>
      </c>
      <c r="K10" s="17" t="s">
        <v>29</v>
      </c>
      <c r="L10" s="6" t="s">
        <v>29</v>
      </c>
      <c r="M10" s="29" t="s">
        <v>29</v>
      </c>
      <c r="N10" s="9"/>
      <c r="O10" s="22"/>
    </row>
    <row r="11" spans="1:17" ht="17" x14ac:dyDescent="0.45">
      <c r="A11">
        <v>8</v>
      </c>
      <c r="B11" s="19" t="str">
        <f t="shared" si="0"/>
        <v>Carrier</v>
      </c>
      <c r="C11" t="s">
        <v>31</v>
      </c>
      <c r="D11" t="str">
        <f>E11</f>
        <v>Carrier</v>
      </c>
      <c r="E11" s="21" t="s">
        <v>31</v>
      </c>
      <c r="F11" s="31" t="s">
        <v>32</v>
      </c>
      <c r="G11" s="48"/>
      <c r="H11" s="48"/>
      <c r="I11" s="49"/>
      <c r="J11" s="48"/>
      <c r="K11" s="49"/>
      <c r="L11" s="48"/>
      <c r="M11" s="50"/>
      <c r="N11" s="9" t="s">
        <v>33</v>
      </c>
      <c r="O11" s="51" t="s">
        <v>33</v>
      </c>
      <c r="Q11" s="52" t="s">
        <v>34</v>
      </c>
    </row>
    <row r="12" spans="1:17" ht="17" x14ac:dyDescent="0.45">
      <c r="A12">
        <v>9</v>
      </c>
      <c r="B12" s="19" t="str">
        <f t="shared" si="0"/>
        <v>MASTER AWB</v>
      </c>
      <c r="C12" t="s">
        <v>35</v>
      </c>
      <c r="D12" t="str">
        <f>G12</f>
        <v>MASTER AWB</v>
      </c>
      <c r="E12" s="21"/>
      <c r="F12" s="31"/>
      <c r="G12" s="28" t="s">
        <v>35</v>
      </c>
      <c r="H12" s="28" t="s">
        <v>35</v>
      </c>
      <c r="I12" s="17" t="s">
        <v>36</v>
      </c>
      <c r="J12" s="6" t="s">
        <v>35</v>
      </c>
      <c r="K12" s="17" t="s">
        <v>35</v>
      </c>
      <c r="L12" s="6" t="s">
        <v>37</v>
      </c>
      <c r="M12" s="29" t="s">
        <v>35</v>
      </c>
      <c r="N12" s="9" t="s">
        <v>38</v>
      </c>
      <c r="O12" s="22" t="s">
        <v>38</v>
      </c>
    </row>
    <row r="13" spans="1:17" ht="17" x14ac:dyDescent="0.45">
      <c r="A13">
        <v>10</v>
      </c>
      <c r="B13" s="19" t="str">
        <f t="shared" si="0"/>
        <v>HAWB</v>
      </c>
      <c r="C13" t="s">
        <v>39</v>
      </c>
      <c r="D13" t="s">
        <v>39</v>
      </c>
      <c r="E13" s="21" t="s">
        <v>40</v>
      </c>
      <c r="F13" s="31" t="s">
        <v>40</v>
      </c>
      <c r="G13" s="28" t="s">
        <v>329</v>
      </c>
      <c r="H13" s="28" t="s">
        <v>329</v>
      </c>
      <c r="I13" s="17" t="s">
        <v>41</v>
      </c>
      <c r="J13" s="6" t="s">
        <v>39</v>
      </c>
      <c r="K13" s="17" t="s">
        <v>39</v>
      </c>
      <c r="L13" s="6" t="s">
        <v>42</v>
      </c>
      <c r="M13" s="29" t="s">
        <v>39</v>
      </c>
      <c r="N13" s="9" t="s">
        <v>43</v>
      </c>
      <c r="O13" s="22" t="s">
        <v>43</v>
      </c>
    </row>
    <row r="14" spans="1:17" ht="17" x14ac:dyDescent="0.45">
      <c r="A14">
        <v>11</v>
      </c>
      <c r="B14" s="19" t="str">
        <f t="shared" si="0"/>
        <v>UPS Trk</v>
      </c>
      <c r="C14" t="s">
        <v>44</v>
      </c>
      <c r="D14" t="str">
        <f>G13</f>
        <v>UPS Tracking number</v>
      </c>
      <c r="E14" s="21"/>
      <c r="F14" s="31"/>
      <c r="G14" s="28" t="s">
        <v>39</v>
      </c>
      <c r="H14" s="28" t="s">
        <v>39</v>
      </c>
      <c r="I14" s="17"/>
      <c r="J14" s="6"/>
      <c r="K14" s="21"/>
      <c r="L14" s="9"/>
      <c r="M14" s="29"/>
      <c r="N14" s="9"/>
      <c r="O14" s="22"/>
    </row>
    <row r="15" spans="1:17" ht="17" x14ac:dyDescent="0.45">
      <c r="A15">
        <v>12</v>
      </c>
      <c r="B15" s="19" t="str">
        <f t="shared" si="0"/>
        <v>PO #</v>
      </c>
      <c r="C15" t="s">
        <v>45</v>
      </c>
      <c r="D15" t="s">
        <v>45</v>
      </c>
      <c r="E15" s="21" t="s">
        <v>46</v>
      </c>
      <c r="F15" s="31" t="s">
        <v>46</v>
      </c>
      <c r="G15" s="30"/>
      <c r="H15" s="30"/>
      <c r="I15" s="21"/>
      <c r="J15" s="9"/>
      <c r="K15" s="21"/>
      <c r="L15" s="9"/>
      <c r="M15" s="31"/>
      <c r="N15" s="9" t="s">
        <v>45</v>
      </c>
      <c r="O15" s="22" t="s">
        <v>45</v>
      </c>
    </row>
    <row r="16" spans="1:17" ht="17" x14ac:dyDescent="0.45">
      <c r="A16">
        <v>13</v>
      </c>
      <c r="B16" s="19" t="str">
        <f t="shared" si="0"/>
        <v>Invoice Date</v>
      </c>
      <c r="C16" t="s">
        <v>47</v>
      </c>
      <c r="D16" t="str">
        <f>G16</f>
        <v>Invoice Date</v>
      </c>
      <c r="E16" s="21" t="s">
        <v>48</v>
      </c>
      <c r="F16" s="31" t="s">
        <v>48</v>
      </c>
      <c r="G16" s="28" t="s">
        <v>47</v>
      </c>
      <c r="H16" s="28" t="s">
        <v>47</v>
      </c>
      <c r="I16" s="17" t="s">
        <v>47</v>
      </c>
      <c r="J16" s="6" t="s">
        <v>47</v>
      </c>
      <c r="K16" s="17" t="s">
        <v>47</v>
      </c>
      <c r="L16" s="6" t="s">
        <v>47</v>
      </c>
      <c r="M16" s="29" t="s">
        <v>47</v>
      </c>
      <c r="N16" s="9"/>
      <c r="O16" s="22"/>
    </row>
    <row r="17" spans="1:15" ht="17" x14ac:dyDescent="0.45">
      <c r="A17">
        <v>14</v>
      </c>
      <c r="B17" s="19" t="str">
        <f t="shared" si="0"/>
        <v>Invoice Number</v>
      </c>
      <c r="C17" t="s">
        <v>49</v>
      </c>
      <c r="D17" t="str">
        <f>G17</f>
        <v>Invoice Number</v>
      </c>
      <c r="E17" s="21" t="s">
        <v>50</v>
      </c>
      <c r="F17" s="31" t="s">
        <v>50</v>
      </c>
      <c r="G17" s="28" t="s">
        <v>49</v>
      </c>
      <c r="H17" s="28" t="s">
        <v>49</v>
      </c>
      <c r="I17" s="17" t="s">
        <v>49</v>
      </c>
      <c r="J17" s="6" t="s">
        <v>49</v>
      </c>
      <c r="K17" s="17" t="s">
        <v>49</v>
      </c>
      <c r="L17" s="6" t="s">
        <v>49</v>
      </c>
      <c r="M17" s="29" t="s">
        <v>49</v>
      </c>
      <c r="N17" s="9" t="s">
        <v>51</v>
      </c>
      <c r="O17" s="22" t="s">
        <v>51</v>
      </c>
    </row>
    <row r="18" spans="1:15" ht="17" x14ac:dyDescent="0.45">
      <c r="A18">
        <v>15</v>
      </c>
      <c r="B18" s="19" t="str">
        <f t="shared" si="0"/>
        <v>Inco Term</v>
      </c>
      <c r="C18" t="s">
        <v>52</v>
      </c>
      <c r="D18" t="str">
        <f>G18</f>
        <v>Inco Term</v>
      </c>
      <c r="E18" s="21" t="s">
        <v>53</v>
      </c>
      <c r="F18" s="31" t="s">
        <v>53</v>
      </c>
      <c r="G18" s="28" t="s">
        <v>52</v>
      </c>
      <c r="H18" s="28" t="s">
        <v>52</v>
      </c>
      <c r="I18" s="17" t="s">
        <v>54</v>
      </c>
      <c r="J18" s="6" t="s">
        <v>54</v>
      </c>
      <c r="K18" s="17" t="s">
        <v>54</v>
      </c>
      <c r="L18" s="6" t="s">
        <v>54</v>
      </c>
      <c r="M18" s="29" t="s">
        <v>54</v>
      </c>
      <c r="N18" s="9" t="s">
        <v>52</v>
      </c>
      <c r="O18" s="22" t="s">
        <v>52</v>
      </c>
    </row>
    <row r="19" spans="1:15" ht="17" x14ac:dyDescent="0.45">
      <c r="A19">
        <v>16</v>
      </c>
      <c r="B19" s="19" t="str">
        <f t="shared" si="0"/>
        <v>Inco Term Text</v>
      </c>
      <c r="C19" t="s">
        <v>55</v>
      </c>
      <c r="D19" t="s">
        <v>55</v>
      </c>
      <c r="E19" s="21"/>
      <c r="F19" s="31"/>
      <c r="G19" s="30"/>
      <c r="H19" s="30"/>
      <c r="I19" s="21"/>
      <c r="J19" s="9"/>
      <c r="K19" s="21"/>
      <c r="L19" s="9"/>
      <c r="M19" s="31"/>
      <c r="N19" s="9" t="s">
        <v>55</v>
      </c>
      <c r="O19" s="22" t="s">
        <v>55</v>
      </c>
    </row>
    <row r="20" spans="1:15" ht="17" x14ac:dyDescent="0.45">
      <c r="A20">
        <v>17</v>
      </c>
      <c r="B20" s="19" t="str">
        <f t="shared" si="0"/>
        <v>Consignee Name</v>
      </c>
      <c r="C20" t="s">
        <v>56</v>
      </c>
      <c r="D20" t="str">
        <f t="shared" ref="D20:D27" si="1">G20</f>
        <v>Consignee Name</v>
      </c>
      <c r="E20" s="21"/>
      <c r="F20" s="31"/>
      <c r="G20" s="28" t="s">
        <v>56</v>
      </c>
      <c r="H20" s="28" t="s">
        <v>56</v>
      </c>
      <c r="I20" s="17" t="s">
        <v>57</v>
      </c>
      <c r="J20" s="17" t="s">
        <v>57</v>
      </c>
      <c r="K20" s="17" t="s">
        <v>56</v>
      </c>
      <c r="L20" s="6" t="s">
        <v>56</v>
      </c>
      <c r="M20" s="29" t="s">
        <v>56</v>
      </c>
      <c r="N20" s="9"/>
      <c r="O20" s="22"/>
    </row>
    <row r="21" spans="1:15" ht="17" x14ac:dyDescent="0.45">
      <c r="A21">
        <v>18</v>
      </c>
      <c r="B21" s="19" t="str">
        <f t="shared" si="0"/>
        <v>Consignor Name</v>
      </c>
      <c r="C21" t="s">
        <v>58</v>
      </c>
      <c r="D21" t="str">
        <f t="shared" si="1"/>
        <v>Consignor</v>
      </c>
      <c r="E21" s="21" t="s">
        <v>59</v>
      </c>
      <c r="F21" s="31" t="s">
        <v>59</v>
      </c>
      <c r="G21" s="28" t="s">
        <v>330</v>
      </c>
      <c r="H21" s="28" t="s">
        <v>330</v>
      </c>
      <c r="I21" s="17" t="s">
        <v>60</v>
      </c>
      <c r="J21" s="17" t="s">
        <v>60</v>
      </c>
      <c r="K21" s="17" t="s">
        <v>58</v>
      </c>
      <c r="L21" s="6" t="s">
        <v>58</v>
      </c>
      <c r="M21" s="29" t="s">
        <v>58</v>
      </c>
      <c r="N21" s="9" t="s">
        <v>61</v>
      </c>
      <c r="O21" s="22" t="s">
        <v>61</v>
      </c>
    </row>
    <row r="22" spans="1:15" ht="17" x14ac:dyDescent="0.45">
      <c r="A22">
        <v>19</v>
      </c>
      <c r="B22" s="19" t="str">
        <f t="shared" si="0"/>
        <v>Port of Loading</v>
      </c>
      <c r="C22" t="s">
        <v>62</v>
      </c>
      <c r="D22" t="str">
        <f t="shared" si="1"/>
        <v>Port Of Loading</v>
      </c>
      <c r="E22" s="21" t="s">
        <v>63</v>
      </c>
      <c r="F22" s="31" t="s">
        <v>63</v>
      </c>
      <c r="G22" s="28" t="s">
        <v>64</v>
      </c>
      <c r="H22" s="28" t="s">
        <v>64</v>
      </c>
      <c r="I22" s="17" t="s">
        <v>65</v>
      </c>
      <c r="J22" s="17" t="s">
        <v>65</v>
      </c>
      <c r="K22" s="17" t="s">
        <v>65</v>
      </c>
      <c r="L22" s="6" t="s">
        <v>65</v>
      </c>
      <c r="M22" s="29" t="s">
        <v>65</v>
      </c>
      <c r="N22" s="9" t="s">
        <v>66</v>
      </c>
      <c r="O22" s="22" t="s">
        <v>66</v>
      </c>
    </row>
    <row r="23" spans="1:15" ht="17" x14ac:dyDescent="0.45">
      <c r="A23">
        <v>20</v>
      </c>
      <c r="B23" s="19" t="str">
        <f t="shared" si="0"/>
        <v>Port of Discharge</v>
      </c>
      <c r="C23" t="s">
        <v>67</v>
      </c>
      <c r="D23" t="str">
        <f t="shared" si="1"/>
        <v>Port Of Discharge</v>
      </c>
      <c r="E23" s="21" t="s">
        <v>68</v>
      </c>
      <c r="F23" s="31" t="s">
        <v>68</v>
      </c>
      <c r="G23" s="28" t="s">
        <v>69</v>
      </c>
      <c r="H23" s="28" t="s">
        <v>69</v>
      </c>
      <c r="I23" s="17" t="s">
        <v>70</v>
      </c>
      <c r="J23" s="17" t="s">
        <v>70</v>
      </c>
      <c r="K23" s="17" t="s">
        <v>70</v>
      </c>
      <c r="L23" s="6" t="s">
        <v>70</v>
      </c>
      <c r="M23" s="29" t="s">
        <v>70</v>
      </c>
      <c r="N23" s="9"/>
      <c r="O23" s="22"/>
    </row>
    <row r="24" spans="1:15" ht="17" x14ac:dyDescent="0.45">
      <c r="A24">
        <v>21</v>
      </c>
      <c r="B24" s="19" t="str">
        <f t="shared" si="0"/>
        <v>Item Desc</v>
      </c>
      <c r="C24" t="s">
        <v>71</v>
      </c>
      <c r="D24" t="str">
        <f t="shared" si="1"/>
        <v>Item Desc</v>
      </c>
      <c r="E24" s="21" t="s">
        <v>72</v>
      </c>
      <c r="F24" s="31" t="s">
        <v>72</v>
      </c>
      <c r="G24" s="28" t="s">
        <v>71</v>
      </c>
      <c r="H24" s="28" t="s">
        <v>71</v>
      </c>
      <c r="I24" s="17" t="s">
        <v>71</v>
      </c>
      <c r="J24" s="6" t="s">
        <v>71</v>
      </c>
      <c r="K24" s="17" t="s">
        <v>71</v>
      </c>
      <c r="L24" s="6" t="s">
        <v>71</v>
      </c>
      <c r="M24" s="29" t="s">
        <v>71</v>
      </c>
      <c r="N24" s="9" t="s">
        <v>73</v>
      </c>
      <c r="O24" s="22" t="s">
        <v>73</v>
      </c>
    </row>
    <row r="25" spans="1:15" ht="17" x14ac:dyDescent="0.45">
      <c r="A25">
        <v>22</v>
      </c>
      <c r="B25" s="19" t="str">
        <f t="shared" si="0"/>
        <v>Item Desc2</v>
      </c>
      <c r="C25" t="s">
        <v>74</v>
      </c>
      <c r="D25" t="str">
        <f t="shared" si="1"/>
        <v>Item Desc2</v>
      </c>
      <c r="E25" s="21"/>
      <c r="F25" s="31"/>
      <c r="G25" s="28" t="s">
        <v>74</v>
      </c>
      <c r="H25" s="9"/>
      <c r="I25" s="17" t="s">
        <v>74</v>
      </c>
      <c r="J25" s="6" t="s">
        <v>74</v>
      </c>
      <c r="K25" s="17" t="s">
        <v>74</v>
      </c>
      <c r="L25" s="6" t="s">
        <v>74</v>
      </c>
      <c r="M25" s="29" t="s">
        <v>74</v>
      </c>
      <c r="N25" s="9" t="s">
        <v>75</v>
      </c>
      <c r="O25" s="22" t="s">
        <v>75</v>
      </c>
    </row>
    <row r="26" spans="1:15" ht="17" x14ac:dyDescent="0.45">
      <c r="A26">
        <v>23</v>
      </c>
      <c r="B26" s="19" t="str">
        <f t="shared" si="0"/>
        <v>Item Desc3</v>
      </c>
      <c r="C26" t="s">
        <v>76</v>
      </c>
      <c r="D26" t="str">
        <f t="shared" si="1"/>
        <v>Item Desc3</v>
      </c>
      <c r="E26" s="21"/>
      <c r="F26" s="31"/>
      <c r="G26" s="28" t="s">
        <v>76</v>
      </c>
      <c r="H26" s="9"/>
      <c r="I26" s="17" t="s">
        <v>76</v>
      </c>
      <c r="J26" s="6" t="s">
        <v>76</v>
      </c>
      <c r="K26" s="17" t="s">
        <v>76</v>
      </c>
      <c r="L26" s="6" t="s">
        <v>76</v>
      </c>
      <c r="M26" s="29" t="s">
        <v>76</v>
      </c>
      <c r="N26" s="9" t="s">
        <v>77</v>
      </c>
      <c r="O26" s="22" t="s">
        <v>77</v>
      </c>
    </row>
    <row r="27" spans="1:15" ht="17" x14ac:dyDescent="0.45">
      <c r="A27">
        <v>24</v>
      </c>
      <c r="B27" s="19" t="str">
        <f t="shared" si="0"/>
        <v>HS Code</v>
      </c>
      <c r="C27" t="s">
        <v>78</v>
      </c>
      <c r="D27" t="str">
        <f t="shared" si="1"/>
        <v>HS Code</v>
      </c>
      <c r="E27" s="21"/>
      <c r="F27" s="31"/>
      <c r="G27" s="28" t="s">
        <v>78</v>
      </c>
      <c r="H27" s="28" t="s">
        <v>78</v>
      </c>
      <c r="I27" s="17" t="s">
        <v>78</v>
      </c>
      <c r="J27" s="6" t="s">
        <v>78</v>
      </c>
      <c r="K27" s="17" t="s">
        <v>78</v>
      </c>
      <c r="L27" s="6" t="s">
        <v>78</v>
      </c>
      <c r="M27" s="29" t="s">
        <v>78</v>
      </c>
      <c r="N27" s="9" t="s">
        <v>79</v>
      </c>
      <c r="O27" s="22" t="s">
        <v>79</v>
      </c>
    </row>
    <row r="28" spans="1:15" ht="17" x14ac:dyDescent="0.45">
      <c r="A28">
        <v>25</v>
      </c>
      <c r="B28" s="20" t="str">
        <f t="shared" si="0"/>
        <v>IPN</v>
      </c>
      <c r="C28" t="s">
        <v>80</v>
      </c>
      <c r="D28" t="s">
        <v>80</v>
      </c>
      <c r="E28" s="23"/>
      <c r="F28" s="32"/>
      <c r="G28" s="25"/>
      <c r="H28" s="25"/>
      <c r="I28" s="23"/>
      <c r="J28" s="24"/>
      <c r="K28" s="23"/>
      <c r="L28" s="24"/>
      <c r="M28" s="32"/>
      <c r="N28" s="24" t="s">
        <v>80</v>
      </c>
      <c r="O28" s="26" t="s">
        <v>80</v>
      </c>
    </row>
    <row r="29" spans="1:15" ht="14.5" hidden="1" customHeight="1" outlineLevel="1" x14ac:dyDescent="0.45">
      <c r="B29" t="str">
        <f t="shared" si="0"/>
        <v/>
      </c>
      <c r="D29" t="str">
        <f t="shared" ref="D29:D60" si="2">G29</f>
        <v>TRX Type</v>
      </c>
      <c r="G29" s="8" t="s">
        <v>81</v>
      </c>
      <c r="H29" s="8" t="s">
        <v>81</v>
      </c>
      <c r="I29" s="6" t="s">
        <v>82</v>
      </c>
      <c r="J29" s="6" t="s">
        <v>82</v>
      </c>
      <c r="K29" s="6" t="s">
        <v>82</v>
      </c>
      <c r="L29" s="6" t="s">
        <v>82</v>
      </c>
      <c r="M29" s="6" t="s">
        <v>82</v>
      </c>
    </row>
    <row r="30" spans="1:15" ht="14.5" hidden="1" customHeight="1" outlineLevel="1" x14ac:dyDescent="0.45">
      <c r="B30" t="str">
        <f t="shared" si="0"/>
        <v/>
      </c>
      <c r="D30" t="str">
        <f t="shared" si="2"/>
        <v>Custom Station Movement From</v>
      </c>
      <c r="G30" s="8" t="s">
        <v>83</v>
      </c>
      <c r="H30" s="8" t="s">
        <v>83</v>
      </c>
      <c r="I30" s="6" t="s">
        <v>84</v>
      </c>
      <c r="J30" s="6"/>
      <c r="M30" s="6" t="s">
        <v>84</v>
      </c>
    </row>
    <row r="31" spans="1:15" ht="14.5" hidden="1" customHeight="1" outlineLevel="1" x14ac:dyDescent="0.45">
      <c r="B31" t="str">
        <f t="shared" si="0"/>
        <v/>
      </c>
      <c r="D31" t="str">
        <f t="shared" si="2"/>
        <v>Custom Station Movement To</v>
      </c>
      <c r="G31" s="8" t="s">
        <v>85</v>
      </c>
      <c r="H31" s="8" t="s">
        <v>85</v>
      </c>
      <c r="I31" s="6" t="s">
        <v>86</v>
      </c>
      <c r="J31" s="6"/>
      <c r="M31" s="6" t="s">
        <v>86</v>
      </c>
    </row>
    <row r="32" spans="1:15" ht="14.5" hidden="1" customHeight="1" outlineLevel="1" x14ac:dyDescent="0.45">
      <c r="B32" t="str">
        <f t="shared" si="0"/>
        <v/>
      </c>
      <c r="D32" t="str">
        <f t="shared" si="2"/>
        <v>Invoice Value</v>
      </c>
      <c r="E32" t="s">
        <v>87</v>
      </c>
      <c r="F32" t="s">
        <v>87</v>
      </c>
      <c r="G32" s="8" t="s">
        <v>88</v>
      </c>
      <c r="H32" s="8" t="s">
        <v>88</v>
      </c>
      <c r="I32" s="6" t="s">
        <v>88</v>
      </c>
      <c r="J32" s="6" t="s">
        <v>88</v>
      </c>
      <c r="K32" s="6" t="s">
        <v>88</v>
      </c>
      <c r="L32" s="6" t="s">
        <v>88</v>
      </c>
      <c r="M32" s="6" t="s">
        <v>88</v>
      </c>
    </row>
    <row r="33" spans="2:13" ht="14.5" hidden="1" customHeight="1" outlineLevel="1" x14ac:dyDescent="0.45">
      <c r="B33" t="str">
        <f t="shared" si="0"/>
        <v/>
      </c>
      <c r="D33" t="str">
        <f t="shared" si="2"/>
        <v>Invoice Currency Code</v>
      </c>
      <c r="E33" t="s">
        <v>89</v>
      </c>
      <c r="F33" t="s">
        <v>89</v>
      </c>
      <c r="G33" s="8" t="s">
        <v>90</v>
      </c>
      <c r="H33" s="8" t="s">
        <v>90</v>
      </c>
      <c r="I33" s="6" t="s">
        <v>91</v>
      </c>
      <c r="J33" s="6" t="s">
        <v>91</v>
      </c>
      <c r="K33" s="6" t="s">
        <v>91</v>
      </c>
      <c r="L33" s="6" t="s">
        <v>91</v>
      </c>
      <c r="M33" s="6" t="s">
        <v>91</v>
      </c>
    </row>
    <row r="34" spans="2:13" ht="14.5" hidden="1" customHeight="1" outlineLevel="1" x14ac:dyDescent="0.45">
      <c r="B34" t="str">
        <f t="shared" si="0"/>
        <v/>
      </c>
      <c r="D34" t="str">
        <f t="shared" si="2"/>
        <v>Invoice ExchangeRate</v>
      </c>
      <c r="E34" t="s">
        <v>92</v>
      </c>
      <c r="F34" t="s">
        <v>92</v>
      </c>
      <c r="G34" s="8" t="s">
        <v>93</v>
      </c>
      <c r="H34" s="8" t="s">
        <v>93</v>
      </c>
      <c r="I34" s="6" t="s">
        <v>94</v>
      </c>
      <c r="J34" s="6" t="s">
        <v>94</v>
      </c>
      <c r="K34" s="6" t="s">
        <v>94</v>
      </c>
      <c r="L34" s="6" t="s">
        <v>94</v>
      </c>
      <c r="M34" s="6" t="s">
        <v>94</v>
      </c>
    </row>
    <row r="35" spans="2:13" ht="14.5" hidden="1" customHeight="1" outlineLevel="1" x14ac:dyDescent="0.45">
      <c r="B35" t="str">
        <f t="shared" si="0"/>
        <v/>
      </c>
      <c r="D35" t="str">
        <f t="shared" si="2"/>
        <v>Consignee SST No</v>
      </c>
      <c r="G35" s="8" t="s">
        <v>95</v>
      </c>
      <c r="H35" s="8" t="s">
        <v>95</v>
      </c>
      <c r="I35" s="6" t="s">
        <v>95</v>
      </c>
      <c r="J35" s="6" t="s">
        <v>95</v>
      </c>
      <c r="K35" s="6" t="s">
        <v>95</v>
      </c>
      <c r="L35" s="6" t="s">
        <v>95</v>
      </c>
      <c r="M35" s="6" t="s">
        <v>95</v>
      </c>
    </row>
    <row r="36" spans="2:13" ht="14.5" hidden="1" customHeight="1" outlineLevel="1" x14ac:dyDescent="0.45">
      <c r="B36" t="str">
        <f t="shared" ref="B36:B67" si="3">SUBSTITUTE(TRIM(C36),"  "," ")</f>
        <v/>
      </c>
      <c r="D36" t="str">
        <f t="shared" si="2"/>
        <v>Consignee ROB/ROC</v>
      </c>
      <c r="G36" s="8" t="s">
        <v>96</v>
      </c>
      <c r="H36" s="8" t="s">
        <v>96</v>
      </c>
      <c r="I36" s="6" t="s">
        <v>96</v>
      </c>
      <c r="J36" s="6" t="s">
        <v>96</v>
      </c>
      <c r="K36" s="6" t="s">
        <v>96</v>
      </c>
      <c r="L36" s="6" t="s">
        <v>96</v>
      </c>
      <c r="M36" s="6" t="s">
        <v>96</v>
      </c>
    </row>
    <row r="37" spans="2:13" ht="14.5" hidden="1" customHeight="1" outlineLevel="1" x14ac:dyDescent="0.45">
      <c r="B37" t="str">
        <f t="shared" si="3"/>
        <v/>
      </c>
      <c r="D37" t="str">
        <f t="shared" si="2"/>
        <v>Consignor SST No</v>
      </c>
      <c r="G37" s="8" t="s">
        <v>97</v>
      </c>
      <c r="H37" s="8" t="s">
        <v>97</v>
      </c>
      <c r="I37" s="6" t="s">
        <v>97</v>
      </c>
      <c r="J37" s="6" t="s">
        <v>97</v>
      </c>
      <c r="K37" s="6" t="s">
        <v>97</v>
      </c>
      <c r="L37" s="6" t="s">
        <v>97</v>
      </c>
      <c r="M37" s="6" t="s">
        <v>97</v>
      </c>
    </row>
    <row r="38" spans="2:13" ht="14.5" hidden="1" customHeight="1" outlineLevel="1" x14ac:dyDescent="0.45">
      <c r="B38" t="str">
        <f t="shared" si="3"/>
        <v/>
      </c>
      <c r="D38" t="str">
        <f t="shared" si="2"/>
        <v>Consignor ROB/ROC</v>
      </c>
      <c r="G38" s="8" t="s">
        <v>98</v>
      </c>
      <c r="H38" s="8" t="s">
        <v>98</v>
      </c>
      <c r="I38" s="6" t="s">
        <v>98</v>
      </c>
      <c r="J38" s="6" t="s">
        <v>98</v>
      </c>
      <c r="K38" s="6" t="s">
        <v>98</v>
      </c>
      <c r="L38" s="6" t="s">
        <v>98</v>
      </c>
      <c r="M38" s="6" t="s">
        <v>98</v>
      </c>
    </row>
    <row r="39" spans="2:13" ht="14.5" hidden="1" customHeight="1" outlineLevel="1" x14ac:dyDescent="0.45">
      <c r="B39" t="str">
        <f t="shared" si="3"/>
        <v/>
      </c>
      <c r="D39" t="str">
        <f t="shared" si="2"/>
        <v>No of Vessel/Flight/Conveyance</v>
      </c>
      <c r="E39" t="s">
        <v>99</v>
      </c>
      <c r="F39" t="s">
        <v>99</v>
      </c>
      <c r="G39" s="8" t="s">
        <v>100</v>
      </c>
      <c r="H39" s="8" t="s">
        <v>100</v>
      </c>
      <c r="I39" s="6" t="s">
        <v>100</v>
      </c>
      <c r="J39" s="6" t="s">
        <v>100</v>
      </c>
      <c r="K39" s="6" t="s">
        <v>100</v>
      </c>
      <c r="L39" s="6" t="s">
        <v>100</v>
      </c>
      <c r="M39" s="6" t="s">
        <v>100</v>
      </c>
    </row>
    <row r="40" spans="2:13" ht="14.5" hidden="1" customHeight="1" outlineLevel="1" x14ac:dyDescent="0.45">
      <c r="B40" t="str">
        <f t="shared" si="3"/>
        <v/>
      </c>
      <c r="D40" t="str">
        <f t="shared" si="2"/>
        <v>Cargo Description</v>
      </c>
      <c r="G40" s="8" t="s">
        <v>101</v>
      </c>
      <c r="H40" s="8" t="s">
        <v>101</v>
      </c>
      <c r="I40" s="6" t="s">
        <v>101</v>
      </c>
      <c r="J40" s="6" t="s">
        <v>101</v>
      </c>
      <c r="K40" s="6" t="s">
        <v>101</v>
      </c>
      <c r="L40" s="6" t="s">
        <v>101</v>
      </c>
      <c r="M40" s="6" t="s">
        <v>101</v>
      </c>
    </row>
    <row r="41" spans="2:13" ht="14.5" hidden="1" customHeight="1" outlineLevel="1" x14ac:dyDescent="0.45">
      <c r="B41" t="str">
        <f t="shared" si="3"/>
        <v/>
      </c>
      <c r="D41" t="str">
        <f t="shared" si="2"/>
        <v>Gross Weight</v>
      </c>
      <c r="E41" t="s">
        <v>102</v>
      </c>
      <c r="F41" t="s">
        <v>102</v>
      </c>
      <c r="G41" s="8" t="s">
        <v>103</v>
      </c>
      <c r="H41" s="8" t="s">
        <v>103</v>
      </c>
      <c r="I41" s="6" t="s">
        <v>104</v>
      </c>
      <c r="J41" s="6" t="s">
        <v>104</v>
      </c>
      <c r="K41" s="6" t="s">
        <v>104</v>
      </c>
      <c r="L41" s="6" t="s">
        <v>104</v>
      </c>
      <c r="M41" s="6" t="s">
        <v>104</v>
      </c>
    </row>
    <row r="42" spans="2:13" ht="14.5" hidden="1" customHeight="1" outlineLevel="1" x14ac:dyDescent="0.45">
      <c r="B42" t="str">
        <f t="shared" si="3"/>
        <v/>
      </c>
      <c r="D42" t="str">
        <f t="shared" si="2"/>
        <v>UOM</v>
      </c>
      <c r="G42" s="8" t="s">
        <v>105</v>
      </c>
      <c r="H42" s="8" t="s">
        <v>105</v>
      </c>
      <c r="I42" s="6" t="s">
        <v>106</v>
      </c>
      <c r="J42" s="6" t="s">
        <v>106</v>
      </c>
      <c r="K42" s="6" t="s">
        <v>106</v>
      </c>
      <c r="L42" s="6" t="s">
        <v>106</v>
      </c>
      <c r="M42" s="6" t="s">
        <v>106</v>
      </c>
    </row>
    <row r="43" spans="2:13" ht="14.5" hidden="1" customHeight="1" outlineLevel="1" x14ac:dyDescent="0.45">
      <c r="B43" t="str">
        <f t="shared" si="3"/>
        <v/>
      </c>
      <c r="D43" t="str">
        <f t="shared" si="2"/>
        <v>Measurement</v>
      </c>
      <c r="G43" s="8" t="s">
        <v>107</v>
      </c>
      <c r="H43" s="8" t="s">
        <v>107</v>
      </c>
      <c r="I43" s="6" t="s">
        <v>108</v>
      </c>
      <c r="J43" s="6" t="s">
        <v>108</v>
      </c>
      <c r="K43" s="6" t="s">
        <v>108</v>
      </c>
      <c r="L43" s="6" t="s">
        <v>108</v>
      </c>
      <c r="M43" s="6" t="s">
        <v>108</v>
      </c>
    </row>
    <row r="44" spans="2:13" ht="14.5" hidden="1" customHeight="1" outlineLevel="1" x14ac:dyDescent="0.45">
      <c r="B44" t="str">
        <f t="shared" si="3"/>
        <v/>
      </c>
      <c r="D44" t="str">
        <f t="shared" si="2"/>
        <v>UOM1</v>
      </c>
      <c r="G44" s="8" t="s">
        <v>109</v>
      </c>
      <c r="H44" s="8" t="s">
        <v>109</v>
      </c>
      <c r="I44" s="6" t="s">
        <v>110</v>
      </c>
      <c r="J44" s="6" t="s">
        <v>110</v>
      </c>
      <c r="K44" s="6" t="s">
        <v>110</v>
      </c>
      <c r="L44" s="6" t="s">
        <v>110</v>
      </c>
      <c r="M44" s="6" t="s">
        <v>110</v>
      </c>
    </row>
    <row r="45" spans="2:13" ht="14.5" hidden="1" customHeight="1" outlineLevel="1" x14ac:dyDescent="0.45">
      <c r="B45" t="str">
        <f t="shared" si="3"/>
        <v/>
      </c>
      <c r="D45" t="str">
        <f t="shared" si="2"/>
        <v>Package qty</v>
      </c>
      <c r="E45" t="s">
        <v>111</v>
      </c>
      <c r="F45" t="s">
        <v>111</v>
      </c>
      <c r="G45" s="8" t="s">
        <v>112</v>
      </c>
      <c r="H45" s="8" t="s">
        <v>112</v>
      </c>
      <c r="I45" s="6" t="s">
        <v>113</v>
      </c>
      <c r="J45" s="6" t="s">
        <v>113</v>
      </c>
      <c r="K45" s="6" t="s">
        <v>113</v>
      </c>
      <c r="L45" s="6" t="s">
        <v>113</v>
      </c>
      <c r="M45" s="6" t="s">
        <v>113</v>
      </c>
    </row>
    <row r="46" spans="2:13" ht="14.5" hidden="1" customHeight="1" outlineLevel="1" x14ac:dyDescent="0.45">
      <c r="B46" t="str">
        <f t="shared" si="3"/>
        <v/>
      </c>
      <c r="D46" t="str">
        <f t="shared" si="2"/>
        <v>Package type</v>
      </c>
      <c r="G46" s="8" t="s">
        <v>114</v>
      </c>
      <c r="H46" s="8" t="s">
        <v>114</v>
      </c>
      <c r="I46" s="6" t="s">
        <v>115</v>
      </c>
      <c r="J46" s="6" t="s">
        <v>115</v>
      </c>
      <c r="K46" s="6" t="s">
        <v>115</v>
      </c>
      <c r="L46" s="6" t="s">
        <v>115</v>
      </c>
      <c r="M46" s="6" t="s">
        <v>115</v>
      </c>
    </row>
    <row r="47" spans="2:13" ht="14.5" hidden="1" customHeight="1" outlineLevel="1" x14ac:dyDescent="0.45">
      <c r="B47" t="str">
        <f t="shared" si="3"/>
        <v/>
      </c>
      <c r="D47" t="str">
        <f t="shared" si="2"/>
        <v>Freight charges (MYR)</v>
      </c>
      <c r="G47" s="8" t="s">
        <v>116</v>
      </c>
      <c r="H47" s="8" t="s">
        <v>116</v>
      </c>
      <c r="I47" s="6" t="s">
        <v>117</v>
      </c>
      <c r="J47" s="6" t="s">
        <v>117</v>
      </c>
      <c r="K47" s="6" t="s">
        <v>117</v>
      </c>
      <c r="L47" s="6" t="s">
        <v>117</v>
      </c>
      <c r="M47" s="6" t="s">
        <v>117</v>
      </c>
    </row>
    <row r="48" spans="2:13" ht="14.5" hidden="1" customHeight="1" outlineLevel="1" x14ac:dyDescent="0.45">
      <c r="B48" t="str">
        <f t="shared" si="3"/>
        <v/>
      </c>
      <c r="D48" t="str">
        <f t="shared" si="2"/>
        <v>Insurance charges (MYR)</v>
      </c>
      <c r="G48" s="8" t="s">
        <v>118</v>
      </c>
      <c r="H48" s="8" t="s">
        <v>118</v>
      </c>
      <c r="I48" s="6" t="s">
        <v>119</v>
      </c>
      <c r="J48" s="6" t="s">
        <v>119</v>
      </c>
      <c r="K48" s="6" t="s">
        <v>119</v>
      </c>
      <c r="L48" s="6" t="s">
        <v>119</v>
      </c>
      <c r="M48" s="6" t="s">
        <v>119</v>
      </c>
    </row>
    <row r="49" spans="2:13" ht="14.5" hidden="1" customHeight="1" outlineLevel="1" x14ac:dyDescent="0.45">
      <c r="B49" t="str">
        <f t="shared" si="3"/>
        <v/>
      </c>
      <c r="D49" t="str">
        <f t="shared" si="2"/>
        <v>Permit Ref. No 1</v>
      </c>
      <c r="G49" s="8" t="s">
        <v>120</v>
      </c>
      <c r="H49" s="8" t="s">
        <v>120</v>
      </c>
      <c r="I49" s="6" t="s">
        <v>120</v>
      </c>
      <c r="J49" s="6" t="s">
        <v>120</v>
      </c>
      <c r="K49" s="6" t="s">
        <v>120</v>
      </c>
      <c r="L49" s="6" t="s">
        <v>120</v>
      </c>
      <c r="M49" s="6" t="s">
        <v>120</v>
      </c>
    </row>
    <row r="50" spans="2:13" ht="14.5" hidden="1" customHeight="1" outlineLevel="1" x14ac:dyDescent="0.45">
      <c r="B50" t="str">
        <f t="shared" si="3"/>
        <v/>
      </c>
      <c r="D50" t="str">
        <f t="shared" si="2"/>
        <v>Permit Ref. No 2</v>
      </c>
      <c r="G50" s="8" t="s">
        <v>121</v>
      </c>
      <c r="H50" s="8" t="s">
        <v>121</v>
      </c>
      <c r="I50" s="6" t="s">
        <v>121</v>
      </c>
      <c r="J50" s="6" t="s">
        <v>121</v>
      </c>
      <c r="K50" s="6" t="s">
        <v>121</v>
      </c>
      <c r="L50" s="6" t="s">
        <v>121</v>
      </c>
      <c r="M50" s="6" t="s">
        <v>121</v>
      </c>
    </row>
    <row r="51" spans="2:13" ht="14.5" hidden="1" customHeight="1" outlineLevel="1" x14ac:dyDescent="0.45">
      <c r="B51" t="str">
        <f t="shared" si="3"/>
        <v/>
      </c>
      <c r="D51" t="str">
        <f t="shared" si="2"/>
        <v>SMK Acknowledgement Response</v>
      </c>
      <c r="G51" s="8" t="s">
        <v>122</v>
      </c>
      <c r="H51" s="8" t="s">
        <v>122</v>
      </c>
      <c r="I51" s="6" t="s">
        <v>122</v>
      </c>
      <c r="J51" s="6" t="s">
        <v>122</v>
      </c>
      <c r="K51" s="6" t="s">
        <v>122</v>
      </c>
      <c r="L51" s="6" t="s">
        <v>122</v>
      </c>
      <c r="M51" s="6" t="s">
        <v>122</v>
      </c>
    </row>
    <row r="52" spans="2:13" ht="14.5" hidden="1" customHeight="1" outlineLevel="1" x14ac:dyDescent="0.45">
      <c r="B52" t="str">
        <f t="shared" si="3"/>
        <v/>
      </c>
      <c r="D52" t="str">
        <f t="shared" si="2"/>
        <v>SMK Response Date</v>
      </c>
      <c r="G52" s="8" t="s">
        <v>123</v>
      </c>
      <c r="H52" s="8" t="s">
        <v>123</v>
      </c>
      <c r="I52" s="6" t="s">
        <v>124</v>
      </c>
      <c r="J52" s="6" t="s">
        <v>124</v>
      </c>
      <c r="K52" s="6" t="s">
        <v>124</v>
      </c>
      <c r="L52" s="6" t="s">
        <v>124</v>
      </c>
      <c r="M52" s="6" t="s">
        <v>124</v>
      </c>
    </row>
    <row r="53" spans="2:13" ht="14.5" hidden="1" customHeight="1" outlineLevel="1" x14ac:dyDescent="0.45">
      <c r="B53" t="str">
        <f t="shared" si="3"/>
        <v/>
      </c>
      <c r="D53" t="str">
        <f t="shared" si="2"/>
        <v>SMK Status Code</v>
      </c>
      <c r="G53" s="8" t="s">
        <v>125</v>
      </c>
      <c r="H53" s="8" t="s">
        <v>125</v>
      </c>
      <c r="I53" s="6" t="s">
        <v>125</v>
      </c>
      <c r="J53" s="6" t="s">
        <v>125</v>
      </c>
      <c r="K53" s="6" t="s">
        <v>125</v>
      </c>
      <c r="L53" s="6" t="s">
        <v>125</v>
      </c>
      <c r="M53" s="6" t="s">
        <v>125</v>
      </c>
    </row>
    <row r="54" spans="2:13" ht="14.5" hidden="1" customHeight="1" outlineLevel="1" x14ac:dyDescent="0.45">
      <c r="B54" t="str">
        <f t="shared" si="3"/>
        <v/>
      </c>
      <c r="D54" t="str">
        <f t="shared" si="2"/>
        <v>FOB Amt (MYR)</v>
      </c>
      <c r="G54" s="8" t="s">
        <v>126</v>
      </c>
      <c r="H54" s="8" t="s">
        <v>126</v>
      </c>
      <c r="I54" s="6" t="s">
        <v>127</v>
      </c>
      <c r="J54" s="6" t="s">
        <v>127</v>
      </c>
      <c r="K54" s="6" t="s">
        <v>127</v>
      </c>
      <c r="L54" s="6" t="s">
        <v>127</v>
      </c>
      <c r="M54" s="6" t="s">
        <v>127</v>
      </c>
    </row>
    <row r="55" spans="2:13" ht="14.5" hidden="1" customHeight="1" outlineLevel="1" x14ac:dyDescent="0.45">
      <c r="B55" t="str">
        <f t="shared" si="3"/>
        <v/>
      </c>
      <c r="D55" t="str">
        <f t="shared" si="2"/>
        <v>CIF Amt (MYR)</v>
      </c>
      <c r="G55" s="8" t="s">
        <v>128</v>
      </c>
      <c r="H55" s="8" t="s">
        <v>128</v>
      </c>
      <c r="I55" s="6" t="s">
        <v>129</v>
      </c>
      <c r="J55" s="6" t="s">
        <v>129</v>
      </c>
      <c r="K55" s="6" t="s">
        <v>129</v>
      </c>
      <c r="L55" s="6" t="s">
        <v>129</v>
      </c>
      <c r="M55" s="6" t="s">
        <v>129</v>
      </c>
    </row>
    <row r="56" spans="2:13" ht="14.5" hidden="1" customHeight="1" outlineLevel="1" x14ac:dyDescent="0.45">
      <c r="B56" t="str">
        <f t="shared" si="3"/>
        <v/>
      </c>
      <c r="D56" t="str">
        <f t="shared" si="2"/>
        <v>SMK Total Duty Payable (MYR)</v>
      </c>
      <c r="G56" s="8" t="s">
        <v>130</v>
      </c>
      <c r="H56" s="8" t="s">
        <v>130</v>
      </c>
      <c r="I56" s="6" t="s">
        <v>130</v>
      </c>
      <c r="J56" s="6" t="s">
        <v>130</v>
      </c>
      <c r="K56" s="6" t="s">
        <v>130</v>
      </c>
      <c r="L56" s="6" t="s">
        <v>130</v>
      </c>
      <c r="M56" s="6" t="s">
        <v>130</v>
      </c>
    </row>
    <row r="57" spans="2:13" ht="14.5" hidden="1" customHeight="1" outlineLevel="1" x14ac:dyDescent="0.45">
      <c r="B57" t="str">
        <f t="shared" si="3"/>
        <v/>
      </c>
      <c r="D57" t="str">
        <f t="shared" si="2"/>
        <v>Item Seq No.</v>
      </c>
      <c r="G57" s="8" t="s">
        <v>131</v>
      </c>
      <c r="H57" s="8" t="s">
        <v>131</v>
      </c>
      <c r="I57" s="6" t="s">
        <v>131</v>
      </c>
      <c r="J57" s="6" t="s">
        <v>131</v>
      </c>
      <c r="K57" s="6" t="s">
        <v>131</v>
      </c>
      <c r="L57" s="6" t="s">
        <v>131</v>
      </c>
      <c r="M57" s="6" t="s">
        <v>131</v>
      </c>
    </row>
    <row r="58" spans="2:13" ht="14.5" hidden="1" customHeight="1" outlineLevel="1" x14ac:dyDescent="0.45">
      <c r="B58" t="str">
        <f t="shared" si="3"/>
        <v/>
      </c>
      <c r="D58" t="str">
        <f t="shared" si="2"/>
        <v>Country of Origin</v>
      </c>
      <c r="G58" s="8" t="s">
        <v>132</v>
      </c>
      <c r="H58" s="8" t="s">
        <v>132</v>
      </c>
      <c r="I58" s="6" t="s">
        <v>132</v>
      </c>
      <c r="J58" s="6" t="s">
        <v>132</v>
      </c>
      <c r="K58" s="6" t="s">
        <v>132</v>
      </c>
      <c r="L58" s="6" t="s">
        <v>132</v>
      </c>
      <c r="M58" s="6" t="s">
        <v>132</v>
      </c>
    </row>
    <row r="59" spans="2:13" ht="14.5" hidden="1" customHeight="1" outlineLevel="1" x14ac:dyDescent="0.45">
      <c r="B59" t="str">
        <f t="shared" si="3"/>
        <v/>
      </c>
      <c r="D59" t="str">
        <f t="shared" si="2"/>
        <v>Statistical QTY</v>
      </c>
      <c r="G59" s="8" t="s">
        <v>133</v>
      </c>
      <c r="H59" s="8" t="s">
        <v>133</v>
      </c>
      <c r="I59" s="6" t="s">
        <v>134</v>
      </c>
      <c r="J59" s="6" t="s">
        <v>134</v>
      </c>
      <c r="K59" s="6" t="s">
        <v>134</v>
      </c>
      <c r="L59" s="6" t="s">
        <v>134</v>
      </c>
      <c r="M59" s="6" t="s">
        <v>134</v>
      </c>
    </row>
    <row r="60" spans="2:13" ht="14.5" hidden="1" customHeight="1" outlineLevel="1" x14ac:dyDescent="0.45">
      <c r="B60" t="str">
        <f t="shared" si="3"/>
        <v/>
      </c>
      <c r="D60" t="str">
        <f t="shared" si="2"/>
        <v>Statistical UOM</v>
      </c>
      <c r="G60" s="8" t="s">
        <v>135</v>
      </c>
      <c r="H60" s="8" t="s">
        <v>135</v>
      </c>
      <c r="I60" s="6" t="s">
        <v>135</v>
      </c>
      <c r="J60" s="6" t="s">
        <v>135</v>
      </c>
      <c r="K60" s="6" t="s">
        <v>135</v>
      </c>
      <c r="L60" s="6" t="s">
        <v>135</v>
      </c>
      <c r="M60" s="6" t="s">
        <v>135</v>
      </c>
    </row>
    <row r="61" spans="2:13" ht="14.5" hidden="1" customHeight="1" outlineLevel="1" x14ac:dyDescent="0.45">
      <c r="B61" t="str">
        <f t="shared" si="3"/>
        <v/>
      </c>
      <c r="D61" t="str">
        <f t="shared" ref="D61:D92" si="4">G61</f>
        <v>Declared QTY</v>
      </c>
      <c r="G61" s="8" t="s">
        <v>136</v>
      </c>
      <c r="H61" s="8" t="s">
        <v>136</v>
      </c>
      <c r="I61" s="6" t="s">
        <v>137</v>
      </c>
      <c r="J61" s="6" t="s">
        <v>137</v>
      </c>
      <c r="K61" s="6" t="s">
        <v>137</v>
      </c>
      <c r="L61" s="6" t="s">
        <v>137</v>
      </c>
      <c r="M61" s="6" t="s">
        <v>137</v>
      </c>
    </row>
    <row r="62" spans="2:13" ht="14.5" hidden="1" customHeight="1" outlineLevel="1" x14ac:dyDescent="0.45">
      <c r="B62" t="str">
        <f t="shared" si="3"/>
        <v/>
      </c>
      <c r="D62" t="str">
        <f t="shared" si="4"/>
        <v>Declared UOM</v>
      </c>
      <c r="G62" s="8" t="s">
        <v>138</v>
      </c>
      <c r="H62" s="8" t="s">
        <v>138</v>
      </c>
      <c r="I62" s="6" t="s">
        <v>138</v>
      </c>
      <c r="J62" s="6" t="s">
        <v>138</v>
      </c>
      <c r="K62" s="6" t="s">
        <v>138</v>
      </c>
      <c r="L62" s="6" t="s">
        <v>138</v>
      </c>
      <c r="M62" s="6" t="s">
        <v>138</v>
      </c>
    </row>
    <row r="63" spans="2:13" ht="14.5" hidden="1" customHeight="1" outlineLevel="1" x14ac:dyDescent="0.45">
      <c r="B63" t="str">
        <f t="shared" si="3"/>
        <v/>
      </c>
      <c r="D63" t="str">
        <f t="shared" si="4"/>
        <v>Item Amt</v>
      </c>
      <c r="G63" s="8" t="s">
        <v>139</v>
      </c>
      <c r="H63" s="8" t="s">
        <v>139</v>
      </c>
      <c r="I63" s="6" t="s">
        <v>139</v>
      </c>
      <c r="J63" s="6" t="s">
        <v>139</v>
      </c>
      <c r="K63" s="6" t="s">
        <v>139</v>
      </c>
      <c r="L63" s="6" t="s">
        <v>139</v>
      </c>
      <c r="M63" s="6" t="s">
        <v>139</v>
      </c>
    </row>
    <row r="64" spans="2:13" ht="14.5" hidden="1" customHeight="1" outlineLevel="1" x14ac:dyDescent="0.45">
      <c r="B64" t="str">
        <f t="shared" si="3"/>
        <v/>
      </c>
      <c r="D64" t="str">
        <f t="shared" si="4"/>
        <v>Import Duty Method</v>
      </c>
      <c r="G64" s="8" t="s">
        <v>140</v>
      </c>
      <c r="H64" s="8" t="s">
        <v>140</v>
      </c>
      <c r="I64" s="6" t="s">
        <v>141</v>
      </c>
      <c r="J64" s="6" t="s">
        <v>141</v>
      </c>
      <c r="K64" s="6" t="s">
        <v>141</v>
      </c>
      <c r="L64" s="6" t="s">
        <v>141</v>
      </c>
      <c r="M64" s="6" t="s">
        <v>141</v>
      </c>
    </row>
    <row r="65" spans="2:13" ht="14.5" hidden="1" customHeight="1" outlineLevel="1" x14ac:dyDescent="0.45">
      <c r="B65" t="str">
        <f t="shared" si="3"/>
        <v/>
      </c>
      <c r="D65" t="str">
        <f t="shared" si="4"/>
        <v>Import Duty Tariff Code Type</v>
      </c>
      <c r="G65" s="8" t="s">
        <v>142</v>
      </c>
      <c r="H65" s="8" t="s">
        <v>142</v>
      </c>
      <c r="I65" s="6" t="s">
        <v>143</v>
      </c>
      <c r="J65" s="6" t="s">
        <v>143</v>
      </c>
      <c r="K65" s="6" t="s">
        <v>143</v>
      </c>
      <c r="L65" s="6" t="s">
        <v>143</v>
      </c>
      <c r="M65" s="6" t="s">
        <v>143</v>
      </c>
    </row>
    <row r="66" spans="2:13" ht="14.5" hidden="1" customHeight="1" outlineLevel="1" x14ac:dyDescent="0.45">
      <c r="B66" t="str">
        <f t="shared" si="3"/>
        <v/>
      </c>
      <c r="D66" t="str">
        <f t="shared" si="4"/>
        <v>Import Duty Percentage (%)</v>
      </c>
      <c r="G66" s="8" t="s">
        <v>144</v>
      </c>
      <c r="H66" s="8" t="s">
        <v>144</v>
      </c>
      <c r="I66" s="6" t="s">
        <v>145</v>
      </c>
      <c r="J66" s="6" t="s">
        <v>145</v>
      </c>
      <c r="K66" s="6" t="s">
        <v>145</v>
      </c>
      <c r="L66" s="6" t="s">
        <v>145</v>
      </c>
      <c r="M66" s="6" t="s">
        <v>145</v>
      </c>
    </row>
    <row r="67" spans="2:13" ht="14.5" hidden="1" customHeight="1" outlineLevel="1" x14ac:dyDescent="0.45">
      <c r="B67" t="str">
        <f t="shared" si="3"/>
        <v/>
      </c>
      <c r="D67" t="str">
        <f t="shared" si="4"/>
        <v>Import Duty Exempted Rate (%)</v>
      </c>
      <c r="G67" s="8" t="s">
        <v>146</v>
      </c>
      <c r="H67" s="8" t="s">
        <v>146</v>
      </c>
      <c r="I67" s="6"/>
      <c r="J67" s="6" t="s">
        <v>147</v>
      </c>
      <c r="K67" s="6" t="s">
        <v>147</v>
      </c>
      <c r="L67" s="6" t="s">
        <v>147</v>
      </c>
      <c r="M67" s="6"/>
    </row>
    <row r="68" spans="2:13" ht="14.5" hidden="1" customHeight="1" outlineLevel="1" x14ac:dyDescent="0.45">
      <c r="B68" t="str">
        <f t="shared" ref="B68:B99" si="5">SUBSTITUTE(TRIM(C68),"  "," ")</f>
        <v/>
      </c>
      <c r="D68" t="str">
        <f t="shared" si="4"/>
        <v>Import Duty Specific (MYR)</v>
      </c>
      <c r="G68" s="8" t="s">
        <v>148</v>
      </c>
      <c r="H68" s="8" t="s">
        <v>148</v>
      </c>
      <c r="I68" s="6" t="s">
        <v>149</v>
      </c>
      <c r="J68" s="6" t="s">
        <v>149</v>
      </c>
      <c r="K68" s="6" t="s">
        <v>149</v>
      </c>
      <c r="L68" s="6" t="s">
        <v>149</v>
      </c>
      <c r="M68" s="6" t="s">
        <v>149</v>
      </c>
    </row>
    <row r="69" spans="2:13" ht="14.5" hidden="1" customHeight="1" outlineLevel="1" x14ac:dyDescent="0.45">
      <c r="B69" t="str">
        <f t="shared" si="5"/>
        <v/>
      </c>
      <c r="D69" t="str">
        <f t="shared" si="4"/>
        <v>Import Duty Amt (MYR)</v>
      </c>
      <c r="G69" s="8" t="s">
        <v>150</v>
      </c>
      <c r="H69" s="8" t="s">
        <v>150</v>
      </c>
      <c r="I69" s="6" t="s">
        <v>151</v>
      </c>
      <c r="J69" s="6" t="s">
        <v>151</v>
      </c>
      <c r="K69" s="6" t="s">
        <v>151</v>
      </c>
      <c r="L69" s="6" t="s">
        <v>151</v>
      </c>
      <c r="M69" s="6" t="s">
        <v>151</v>
      </c>
    </row>
    <row r="70" spans="2:13" ht="14.5" hidden="1" customHeight="1" outlineLevel="1" x14ac:dyDescent="0.45">
      <c r="B70" t="str">
        <f t="shared" si="5"/>
        <v/>
      </c>
      <c r="D70" t="str">
        <f t="shared" si="4"/>
        <v>Excise Duty Method</v>
      </c>
      <c r="G70" s="8" t="s">
        <v>152</v>
      </c>
      <c r="H70" s="8" t="s">
        <v>152</v>
      </c>
      <c r="I70" s="6" t="s">
        <v>153</v>
      </c>
      <c r="J70" s="6" t="s">
        <v>153</v>
      </c>
      <c r="K70" s="6" t="s">
        <v>153</v>
      </c>
      <c r="L70" s="6" t="s">
        <v>153</v>
      </c>
      <c r="M70" s="6" t="s">
        <v>153</v>
      </c>
    </row>
    <row r="71" spans="2:13" ht="14.5" hidden="1" customHeight="1" outlineLevel="1" x14ac:dyDescent="0.45">
      <c r="B71" t="str">
        <f t="shared" si="5"/>
        <v/>
      </c>
      <c r="D71" t="str">
        <f t="shared" si="4"/>
        <v>Excise Duty Tariff Code Type</v>
      </c>
      <c r="G71" s="8" t="s">
        <v>154</v>
      </c>
      <c r="H71" s="8" t="s">
        <v>154</v>
      </c>
      <c r="I71" s="6" t="s">
        <v>155</v>
      </c>
      <c r="J71" s="6" t="s">
        <v>155</v>
      </c>
      <c r="K71" s="6" t="s">
        <v>155</v>
      </c>
      <c r="L71" s="6" t="s">
        <v>155</v>
      </c>
      <c r="M71" s="6" t="s">
        <v>155</v>
      </c>
    </row>
    <row r="72" spans="2:13" ht="14.5" hidden="1" customHeight="1" outlineLevel="1" x14ac:dyDescent="0.45">
      <c r="B72" t="str">
        <f t="shared" si="5"/>
        <v/>
      </c>
      <c r="D72" t="str">
        <f t="shared" si="4"/>
        <v>Excise Duty Percentage (%)</v>
      </c>
      <c r="G72" s="8" t="s">
        <v>156</v>
      </c>
      <c r="H72" s="8" t="s">
        <v>156</v>
      </c>
      <c r="I72" s="6" t="s">
        <v>157</v>
      </c>
      <c r="J72" s="6" t="s">
        <v>157</v>
      </c>
      <c r="K72" s="6" t="s">
        <v>157</v>
      </c>
      <c r="L72" s="6" t="s">
        <v>157</v>
      </c>
      <c r="M72" s="6" t="s">
        <v>157</v>
      </c>
    </row>
    <row r="73" spans="2:13" ht="14.5" hidden="1" customHeight="1" outlineLevel="1" x14ac:dyDescent="0.45">
      <c r="B73" t="str">
        <f t="shared" si="5"/>
        <v/>
      </c>
      <c r="D73" t="str">
        <f t="shared" si="4"/>
        <v>Excise Duty Exempted Rate (%)</v>
      </c>
      <c r="G73" s="8" t="s">
        <v>158</v>
      </c>
      <c r="H73" s="8" t="s">
        <v>158</v>
      </c>
      <c r="I73" s="6"/>
      <c r="J73" s="6" t="s">
        <v>159</v>
      </c>
      <c r="K73" s="6" t="s">
        <v>159</v>
      </c>
      <c r="L73" s="6" t="s">
        <v>159</v>
      </c>
      <c r="M73" s="6"/>
    </row>
    <row r="74" spans="2:13" ht="14.5" hidden="1" customHeight="1" outlineLevel="1" x14ac:dyDescent="0.45">
      <c r="B74" t="str">
        <f t="shared" si="5"/>
        <v/>
      </c>
      <c r="D74" t="str">
        <f t="shared" si="4"/>
        <v>Excise Duty Specific (MYR)</v>
      </c>
      <c r="G74" s="8" t="s">
        <v>160</v>
      </c>
      <c r="H74" s="8" t="s">
        <v>160</v>
      </c>
      <c r="I74" s="6" t="s">
        <v>161</v>
      </c>
      <c r="J74" s="6" t="s">
        <v>161</v>
      </c>
      <c r="K74" s="6" t="s">
        <v>161</v>
      </c>
      <c r="L74" s="6" t="s">
        <v>161</v>
      </c>
      <c r="M74" s="6" t="s">
        <v>161</v>
      </c>
    </row>
    <row r="75" spans="2:13" ht="14.5" hidden="1" customHeight="1" outlineLevel="1" x14ac:dyDescent="0.45">
      <c r="B75" t="str">
        <f t="shared" si="5"/>
        <v/>
      </c>
      <c r="D75" t="str">
        <f t="shared" si="4"/>
        <v>Excise Duty Amt (MYR)</v>
      </c>
      <c r="G75" s="8" t="s">
        <v>162</v>
      </c>
      <c r="H75" s="8" t="s">
        <v>162</v>
      </c>
      <c r="I75" s="6" t="s">
        <v>163</v>
      </c>
      <c r="J75" s="6" t="s">
        <v>163</v>
      </c>
      <c r="K75" s="6" t="s">
        <v>163</v>
      </c>
      <c r="L75" s="6" t="s">
        <v>163</v>
      </c>
      <c r="M75" s="6" t="s">
        <v>163</v>
      </c>
    </row>
    <row r="76" spans="2:13" ht="14.5" hidden="1" customHeight="1" outlineLevel="1" x14ac:dyDescent="0.45">
      <c r="B76" t="str">
        <f t="shared" si="5"/>
        <v/>
      </c>
      <c r="D76" t="str">
        <f t="shared" si="4"/>
        <v>Sales Tax Method</v>
      </c>
      <c r="G76" s="8" t="s">
        <v>164</v>
      </c>
      <c r="H76" s="8" t="s">
        <v>164</v>
      </c>
      <c r="I76" s="6" t="s">
        <v>165</v>
      </c>
      <c r="J76" s="6" t="s">
        <v>165</v>
      </c>
      <c r="K76" s="6" t="s">
        <v>165</v>
      </c>
      <c r="L76" s="6" t="s">
        <v>165</v>
      </c>
      <c r="M76" s="6" t="s">
        <v>165</v>
      </c>
    </row>
    <row r="77" spans="2:13" ht="14.5" hidden="1" customHeight="1" outlineLevel="1" x14ac:dyDescent="0.45">
      <c r="B77" t="str">
        <f t="shared" si="5"/>
        <v/>
      </c>
      <c r="D77" t="str">
        <f t="shared" si="4"/>
        <v>Sales Tax Tariff Code Type</v>
      </c>
      <c r="G77" s="8" t="s">
        <v>166</v>
      </c>
      <c r="H77" s="8" t="s">
        <v>166</v>
      </c>
      <c r="I77" s="6" t="s">
        <v>167</v>
      </c>
      <c r="J77" s="6" t="s">
        <v>167</v>
      </c>
      <c r="K77" s="6" t="s">
        <v>167</v>
      </c>
      <c r="L77" s="6" t="s">
        <v>167</v>
      </c>
      <c r="M77" s="6" t="s">
        <v>167</v>
      </c>
    </row>
    <row r="78" spans="2:13" ht="14.5" hidden="1" customHeight="1" outlineLevel="1" x14ac:dyDescent="0.45">
      <c r="B78" t="str">
        <f t="shared" si="5"/>
        <v/>
      </c>
      <c r="D78" t="str">
        <f t="shared" si="4"/>
        <v>Sales Tax Percentage (%)</v>
      </c>
      <c r="G78" s="8" t="s">
        <v>168</v>
      </c>
      <c r="H78" s="8" t="s">
        <v>168</v>
      </c>
      <c r="I78" s="6" t="s">
        <v>169</v>
      </c>
      <c r="J78" s="6" t="s">
        <v>169</v>
      </c>
      <c r="K78" s="6" t="s">
        <v>169</v>
      </c>
      <c r="L78" s="6" t="s">
        <v>169</v>
      </c>
      <c r="M78" s="6" t="s">
        <v>169</v>
      </c>
    </row>
    <row r="79" spans="2:13" ht="14.5" hidden="1" customHeight="1" outlineLevel="1" x14ac:dyDescent="0.45">
      <c r="B79" t="str">
        <f t="shared" si="5"/>
        <v/>
      </c>
      <c r="D79" t="str">
        <f t="shared" si="4"/>
        <v>Sales Tax Exempted Rate (%)</v>
      </c>
      <c r="G79" s="8" t="s">
        <v>170</v>
      </c>
      <c r="H79" s="8" t="s">
        <v>170</v>
      </c>
      <c r="I79" s="6"/>
      <c r="J79" s="6" t="s">
        <v>171</v>
      </c>
      <c r="K79" s="6" t="s">
        <v>171</v>
      </c>
      <c r="L79" s="6" t="s">
        <v>171</v>
      </c>
      <c r="M79" s="6"/>
    </row>
    <row r="80" spans="2:13" ht="14.5" hidden="1" customHeight="1" outlineLevel="1" x14ac:dyDescent="0.45">
      <c r="B80" t="str">
        <f t="shared" si="5"/>
        <v/>
      </c>
      <c r="D80" t="str">
        <f t="shared" si="4"/>
        <v>Sales Tax Specific (MYR)</v>
      </c>
      <c r="G80" s="8" t="s">
        <v>172</v>
      </c>
      <c r="H80" s="8" t="s">
        <v>172</v>
      </c>
      <c r="I80" s="6" t="s">
        <v>173</v>
      </c>
      <c r="J80" s="6" t="s">
        <v>173</v>
      </c>
      <c r="K80" s="6" t="s">
        <v>173</v>
      </c>
      <c r="L80" s="6" t="s">
        <v>173</v>
      </c>
      <c r="M80" s="6" t="s">
        <v>173</v>
      </c>
    </row>
    <row r="81" spans="2:13" ht="14.5" hidden="1" customHeight="1" outlineLevel="1" x14ac:dyDescent="0.45">
      <c r="B81" t="str">
        <f t="shared" si="5"/>
        <v/>
      </c>
      <c r="D81" t="str">
        <f t="shared" si="4"/>
        <v>Sales Tax Amt (MYR)</v>
      </c>
      <c r="G81" s="8" t="s">
        <v>174</v>
      </c>
      <c r="H81" s="8" t="s">
        <v>174</v>
      </c>
      <c r="I81" s="6" t="s">
        <v>175</v>
      </c>
      <c r="J81" s="6" t="s">
        <v>175</v>
      </c>
      <c r="K81" s="6" t="s">
        <v>175</v>
      </c>
      <c r="L81" s="6" t="s">
        <v>175</v>
      </c>
      <c r="M81" s="6" t="s">
        <v>175</v>
      </c>
    </row>
    <row r="82" spans="2:13" ht="14.5" hidden="1" customHeight="1" outlineLevel="1" x14ac:dyDescent="0.45">
      <c r="B82" t="str">
        <f t="shared" si="5"/>
        <v/>
      </c>
      <c r="D82" t="str">
        <f t="shared" si="4"/>
        <v>Export Duty Method</v>
      </c>
      <c r="G82" s="8" t="s">
        <v>176</v>
      </c>
      <c r="H82" s="8" t="s">
        <v>176</v>
      </c>
      <c r="I82" s="6" t="s">
        <v>177</v>
      </c>
      <c r="J82" s="6"/>
      <c r="M82" s="6" t="s">
        <v>177</v>
      </c>
    </row>
    <row r="83" spans="2:13" ht="14.5" hidden="1" customHeight="1" outlineLevel="1" x14ac:dyDescent="0.45">
      <c r="B83" t="str">
        <f t="shared" si="5"/>
        <v/>
      </c>
      <c r="D83" t="str">
        <f t="shared" si="4"/>
        <v>Export Duty Tariff Code Type</v>
      </c>
      <c r="G83" s="8" t="s">
        <v>178</v>
      </c>
      <c r="H83" s="8" t="s">
        <v>178</v>
      </c>
      <c r="I83" s="6" t="s">
        <v>179</v>
      </c>
      <c r="J83" s="6"/>
      <c r="M83" s="6" t="s">
        <v>179</v>
      </c>
    </row>
    <row r="84" spans="2:13" ht="14.5" hidden="1" customHeight="1" outlineLevel="1" x14ac:dyDescent="0.45">
      <c r="B84" t="str">
        <f t="shared" si="5"/>
        <v/>
      </c>
      <c r="D84" t="str">
        <f t="shared" si="4"/>
        <v>Export Duty Percentage (%)</v>
      </c>
      <c r="G84" s="8" t="s">
        <v>180</v>
      </c>
      <c r="H84" s="8" t="s">
        <v>180</v>
      </c>
      <c r="I84" s="6" t="s">
        <v>181</v>
      </c>
      <c r="J84" s="6"/>
      <c r="M84" s="6" t="s">
        <v>181</v>
      </c>
    </row>
    <row r="85" spans="2:13" ht="14.5" hidden="1" customHeight="1" outlineLevel="1" x14ac:dyDescent="0.45">
      <c r="B85" t="str">
        <f t="shared" si="5"/>
        <v/>
      </c>
      <c r="D85" t="str">
        <f t="shared" si="4"/>
        <v>Export Duty Exempted Rate (%)</v>
      </c>
      <c r="G85" s="8" t="s">
        <v>182</v>
      </c>
      <c r="H85" s="8" t="s">
        <v>182</v>
      </c>
      <c r="I85" s="6"/>
      <c r="J85" s="6"/>
      <c r="M85" s="6"/>
    </row>
    <row r="86" spans="2:13" ht="14.5" hidden="1" customHeight="1" outlineLevel="1" x14ac:dyDescent="0.45">
      <c r="B86" t="str">
        <f t="shared" si="5"/>
        <v/>
      </c>
      <c r="D86" t="str">
        <f t="shared" si="4"/>
        <v>Export Duty Specific (MYR)</v>
      </c>
      <c r="G86" s="8" t="s">
        <v>183</v>
      </c>
      <c r="H86" s="8" t="s">
        <v>183</v>
      </c>
      <c r="I86" s="6" t="s">
        <v>184</v>
      </c>
      <c r="J86" s="6"/>
      <c r="M86" s="6" t="s">
        <v>184</v>
      </c>
    </row>
    <row r="87" spans="2:13" ht="14.5" hidden="1" customHeight="1" outlineLevel="1" x14ac:dyDescent="0.45">
      <c r="B87" t="str">
        <f t="shared" si="5"/>
        <v/>
      </c>
      <c r="D87" t="str">
        <f t="shared" si="4"/>
        <v>Export Duty Amt (MYR)</v>
      </c>
      <c r="G87" s="8" t="s">
        <v>185</v>
      </c>
      <c r="H87" s="8" t="s">
        <v>185</v>
      </c>
      <c r="I87" s="6" t="s">
        <v>186</v>
      </c>
      <c r="J87" s="6"/>
      <c r="M87" s="6" t="s">
        <v>186</v>
      </c>
    </row>
    <row r="88" spans="2:13" ht="14.5" hidden="1" customHeight="1" outlineLevel="1" x14ac:dyDescent="0.45">
      <c r="B88" t="str">
        <f t="shared" si="5"/>
        <v/>
      </c>
      <c r="D88" t="str">
        <f t="shared" si="4"/>
        <v>CESS1 Method</v>
      </c>
      <c r="G88" s="8" t="s">
        <v>187</v>
      </c>
      <c r="H88" s="8" t="s">
        <v>187</v>
      </c>
      <c r="I88" s="6" t="s">
        <v>188</v>
      </c>
      <c r="J88" s="6"/>
      <c r="M88" s="6" t="s">
        <v>188</v>
      </c>
    </row>
    <row r="89" spans="2:13" ht="14.5" hidden="1" customHeight="1" outlineLevel="1" x14ac:dyDescent="0.45">
      <c r="B89" t="str">
        <f t="shared" si="5"/>
        <v/>
      </c>
      <c r="D89" t="str">
        <f t="shared" si="4"/>
        <v>CESS1 Tariff Code Type</v>
      </c>
      <c r="G89" s="8" t="s">
        <v>189</v>
      </c>
      <c r="H89" s="8" t="s">
        <v>189</v>
      </c>
      <c r="I89" s="6" t="s">
        <v>190</v>
      </c>
      <c r="J89" s="6"/>
      <c r="M89" s="6" t="s">
        <v>190</v>
      </c>
    </row>
    <row r="90" spans="2:13" ht="14.5" hidden="1" customHeight="1" outlineLevel="1" x14ac:dyDescent="0.45">
      <c r="B90" t="str">
        <f t="shared" si="5"/>
        <v/>
      </c>
      <c r="D90" t="str">
        <f t="shared" si="4"/>
        <v>CESS1 Percentage (%)</v>
      </c>
      <c r="G90" s="8" t="s">
        <v>191</v>
      </c>
      <c r="H90" s="8" t="s">
        <v>191</v>
      </c>
      <c r="I90" s="6" t="s">
        <v>192</v>
      </c>
      <c r="J90" s="6"/>
      <c r="M90" s="6" t="s">
        <v>192</v>
      </c>
    </row>
    <row r="91" spans="2:13" ht="14.5" hidden="1" customHeight="1" outlineLevel="1" x14ac:dyDescent="0.45">
      <c r="B91" t="str">
        <f t="shared" si="5"/>
        <v/>
      </c>
      <c r="D91" t="str">
        <f t="shared" si="4"/>
        <v>CESS1 Exempted Rate (%)</v>
      </c>
      <c r="G91" s="8" t="s">
        <v>193</v>
      </c>
      <c r="H91" s="8" t="s">
        <v>193</v>
      </c>
      <c r="I91" s="6"/>
      <c r="J91" s="6"/>
      <c r="M91" s="6"/>
    </row>
    <row r="92" spans="2:13" ht="14.5" hidden="1" customHeight="1" outlineLevel="1" x14ac:dyDescent="0.45">
      <c r="B92" t="str">
        <f t="shared" si="5"/>
        <v/>
      </c>
      <c r="D92" t="str">
        <f t="shared" si="4"/>
        <v>CESS1 Specific (MYR)</v>
      </c>
      <c r="G92" s="8" t="s">
        <v>194</v>
      </c>
      <c r="H92" s="8" t="s">
        <v>194</v>
      </c>
      <c r="I92" s="6" t="s">
        <v>195</v>
      </c>
      <c r="J92" s="6"/>
      <c r="M92" s="6" t="s">
        <v>195</v>
      </c>
    </row>
    <row r="93" spans="2:13" ht="14.5" hidden="1" customHeight="1" outlineLevel="1" x14ac:dyDescent="0.45">
      <c r="B93" t="str">
        <f t="shared" si="5"/>
        <v/>
      </c>
      <c r="D93" t="str">
        <f t="shared" ref="D93:D105" si="6">G93</f>
        <v>CESS1 Amt (MYR)</v>
      </c>
      <c r="G93" s="8" t="s">
        <v>196</v>
      </c>
      <c r="H93" s="8" t="s">
        <v>196</v>
      </c>
      <c r="I93" s="6" t="s">
        <v>197</v>
      </c>
      <c r="J93" s="6"/>
      <c r="M93" s="6" t="s">
        <v>197</v>
      </c>
    </row>
    <row r="94" spans="2:13" ht="14.5" hidden="1" customHeight="1" outlineLevel="1" x14ac:dyDescent="0.45">
      <c r="B94" t="str">
        <f t="shared" si="5"/>
        <v/>
      </c>
      <c r="D94" t="str">
        <f t="shared" si="6"/>
        <v>CESS2 Method</v>
      </c>
      <c r="G94" s="8" t="s">
        <v>198</v>
      </c>
      <c r="H94" s="8" t="s">
        <v>198</v>
      </c>
      <c r="I94" s="6" t="s">
        <v>199</v>
      </c>
      <c r="J94" s="6"/>
      <c r="M94" s="6" t="s">
        <v>199</v>
      </c>
    </row>
    <row r="95" spans="2:13" ht="14.5" hidden="1" customHeight="1" outlineLevel="1" x14ac:dyDescent="0.45">
      <c r="B95" t="str">
        <f t="shared" si="5"/>
        <v/>
      </c>
      <c r="D95" t="str">
        <f t="shared" si="6"/>
        <v>CESS2 Tariff Code Type</v>
      </c>
      <c r="G95" s="8" t="s">
        <v>200</v>
      </c>
      <c r="H95" s="8" t="s">
        <v>200</v>
      </c>
      <c r="I95" s="6" t="s">
        <v>201</v>
      </c>
      <c r="J95" s="6"/>
      <c r="M95" s="6" t="s">
        <v>201</v>
      </c>
    </row>
    <row r="96" spans="2:13" ht="14.5" hidden="1" customHeight="1" outlineLevel="1" x14ac:dyDescent="0.45">
      <c r="B96" t="str">
        <f t="shared" si="5"/>
        <v/>
      </c>
      <c r="D96" t="str">
        <f t="shared" si="6"/>
        <v>CESS2 Percentage (%)</v>
      </c>
      <c r="G96" s="8" t="s">
        <v>202</v>
      </c>
      <c r="H96" s="8" t="s">
        <v>202</v>
      </c>
      <c r="I96" s="6" t="s">
        <v>203</v>
      </c>
      <c r="J96" s="6"/>
      <c r="M96" s="6" t="s">
        <v>203</v>
      </c>
    </row>
    <row r="97" spans="2:13" ht="14.5" hidden="1" customHeight="1" outlineLevel="1" x14ac:dyDescent="0.45">
      <c r="B97" t="str">
        <f t="shared" si="5"/>
        <v/>
      </c>
      <c r="D97" t="str">
        <f t="shared" si="6"/>
        <v>CESS2 Exempted Rate (%)</v>
      </c>
      <c r="G97" s="8" t="s">
        <v>204</v>
      </c>
      <c r="H97" s="8" t="s">
        <v>204</v>
      </c>
      <c r="I97" s="6"/>
      <c r="J97" s="6"/>
      <c r="M97" s="6"/>
    </row>
    <row r="98" spans="2:13" ht="14.5" hidden="1" customHeight="1" outlineLevel="1" x14ac:dyDescent="0.45">
      <c r="B98" t="str">
        <f t="shared" si="5"/>
        <v/>
      </c>
      <c r="D98" t="str">
        <f t="shared" si="6"/>
        <v>CESS2 Specific (MYR)</v>
      </c>
      <c r="G98" s="8" t="s">
        <v>205</v>
      </c>
      <c r="H98" s="8" t="s">
        <v>205</v>
      </c>
      <c r="I98" s="6" t="s">
        <v>206</v>
      </c>
      <c r="J98" s="6"/>
      <c r="M98" s="6" t="s">
        <v>206</v>
      </c>
    </row>
    <row r="99" spans="2:13" ht="14.5" hidden="1" customHeight="1" outlineLevel="1" x14ac:dyDescent="0.45">
      <c r="B99" t="str">
        <f t="shared" si="5"/>
        <v/>
      </c>
      <c r="D99" t="str">
        <f t="shared" si="6"/>
        <v>CESS2 Amt (MYR)</v>
      </c>
      <c r="G99" s="8" t="s">
        <v>207</v>
      </c>
      <c r="H99" s="8" t="s">
        <v>207</v>
      </c>
      <c r="I99" s="6" t="s">
        <v>208</v>
      </c>
      <c r="J99" s="6"/>
      <c r="M99" s="6" t="s">
        <v>208</v>
      </c>
    </row>
    <row r="100" spans="2:13" ht="14.5" hidden="1" customHeight="1" outlineLevel="1" x14ac:dyDescent="0.45">
      <c r="B100" t="str">
        <f t="shared" ref="B100:B114" si="7">SUBSTITUTE(TRIM(C100),"  "," ")</f>
        <v/>
      </c>
      <c r="D100" t="str">
        <f t="shared" si="6"/>
        <v>CESS3 Method</v>
      </c>
      <c r="G100" s="8" t="s">
        <v>209</v>
      </c>
      <c r="H100" s="8" t="s">
        <v>209</v>
      </c>
      <c r="I100" s="6" t="s">
        <v>210</v>
      </c>
      <c r="J100" s="6"/>
      <c r="M100" s="6" t="s">
        <v>210</v>
      </c>
    </row>
    <row r="101" spans="2:13" ht="14.5" hidden="1" customHeight="1" outlineLevel="1" x14ac:dyDescent="0.45">
      <c r="B101" t="str">
        <f t="shared" si="7"/>
        <v/>
      </c>
      <c r="D101" t="str">
        <f t="shared" si="6"/>
        <v>CESS3 Tariff Code Type</v>
      </c>
      <c r="G101" s="8" t="s">
        <v>211</v>
      </c>
      <c r="H101" s="8" t="s">
        <v>211</v>
      </c>
      <c r="I101" s="6" t="s">
        <v>212</v>
      </c>
      <c r="J101" s="6"/>
      <c r="M101" s="6" t="s">
        <v>212</v>
      </c>
    </row>
    <row r="102" spans="2:13" ht="14.5" hidden="1" customHeight="1" outlineLevel="1" x14ac:dyDescent="0.45">
      <c r="B102" t="str">
        <f t="shared" si="7"/>
        <v/>
      </c>
      <c r="D102" t="str">
        <f t="shared" si="6"/>
        <v>CESS3 Percentage (%)</v>
      </c>
      <c r="G102" s="8" t="s">
        <v>213</v>
      </c>
      <c r="H102" s="8" t="s">
        <v>213</v>
      </c>
      <c r="I102" s="6" t="s">
        <v>214</v>
      </c>
      <c r="J102" s="6"/>
      <c r="M102" s="6" t="s">
        <v>214</v>
      </c>
    </row>
    <row r="103" spans="2:13" ht="14.5" hidden="1" customHeight="1" outlineLevel="1" x14ac:dyDescent="0.45">
      <c r="B103" t="str">
        <f t="shared" si="7"/>
        <v/>
      </c>
      <c r="D103" t="str">
        <f t="shared" si="6"/>
        <v>CESS3 Exempted Rate (%)</v>
      </c>
      <c r="G103" s="8" t="s">
        <v>215</v>
      </c>
      <c r="H103" s="8" t="s">
        <v>215</v>
      </c>
      <c r="I103" s="6"/>
      <c r="J103" s="6"/>
      <c r="M103" s="6"/>
    </row>
    <row r="104" spans="2:13" ht="14.5" hidden="1" customHeight="1" outlineLevel="1" x14ac:dyDescent="0.45">
      <c r="B104" t="str">
        <f t="shared" si="7"/>
        <v/>
      </c>
      <c r="D104" t="str">
        <f t="shared" si="6"/>
        <v>CESS3 Specific (MYR)</v>
      </c>
      <c r="G104" s="8" t="s">
        <v>216</v>
      </c>
      <c r="H104" s="8" t="s">
        <v>216</v>
      </c>
      <c r="I104" s="6" t="s">
        <v>217</v>
      </c>
      <c r="J104" s="6"/>
      <c r="M104" s="6" t="s">
        <v>217</v>
      </c>
    </row>
    <row r="105" spans="2:13" ht="14.5" hidden="1" customHeight="1" outlineLevel="1" x14ac:dyDescent="0.45">
      <c r="B105" t="str">
        <f t="shared" si="7"/>
        <v/>
      </c>
      <c r="D105" t="str">
        <f t="shared" si="6"/>
        <v>CESS3 Amt (MYR)</v>
      </c>
      <c r="G105" s="8" t="s">
        <v>218</v>
      </c>
      <c r="H105" s="8" t="s">
        <v>218</v>
      </c>
      <c r="I105" s="6" t="s">
        <v>219</v>
      </c>
      <c r="J105" s="6"/>
      <c r="M105" s="6" t="s">
        <v>219</v>
      </c>
    </row>
    <row r="106" spans="2:13" ht="14.5" hidden="1" customHeight="1" outlineLevel="1" x14ac:dyDescent="0.45">
      <c r="B106" t="str">
        <f t="shared" si="7"/>
        <v/>
      </c>
      <c r="D106" t="str">
        <f>I106</f>
        <v>Job No</v>
      </c>
      <c r="I106" s="6" t="s">
        <v>220</v>
      </c>
      <c r="J106" s="6" t="s">
        <v>220</v>
      </c>
      <c r="K106" s="6" t="s">
        <v>220</v>
      </c>
      <c r="L106" s="6" t="s">
        <v>220</v>
      </c>
      <c r="M106" s="6" t="s">
        <v>220</v>
      </c>
    </row>
    <row r="107" spans="2:13" ht="14.5" hidden="1" customHeight="1" outlineLevel="1" x14ac:dyDescent="0.45">
      <c r="B107" t="str">
        <f t="shared" si="7"/>
        <v/>
      </c>
      <c r="D107" t="str">
        <f>I107</f>
        <v>Custom Station</v>
      </c>
      <c r="I107" s="6" t="s">
        <v>221</v>
      </c>
      <c r="J107" s="6" t="s">
        <v>221</v>
      </c>
      <c r="K107" s="6" t="s">
        <v>221</v>
      </c>
      <c r="L107" s="6" t="s">
        <v>221</v>
      </c>
      <c r="M107" s="6" t="s">
        <v>221</v>
      </c>
    </row>
    <row r="108" spans="2:13" ht="14.5" hidden="1" customHeight="1" outlineLevel="1" x14ac:dyDescent="0.45">
      <c r="B108" t="str">
        <f t="shared" si="7"/>
        <v/>
      </c>
      <c r="D108" t="str">
        <f>I108</f>
        <v>Consignee</v>
      </c>
      <c r="I108" s="6" t="s">
        <v>57</v>
      </c>
      <c r="J108" s="6" t="s">
        <v>57</v>
      </c>
    </row>
    <row r="109" spans="2:13" ht="14.5" hidden="1" customHeight="1" outlineLevel="1" x14ac:dyDescent="0.45">
      <c r="B109" t="str">
        <f t="shared" si="7"/>
        <v/>
      </c>
      <c r="D109" t="str">
        <f>I109</f>
        <v>Consignor</v>
      </c>
      <c r="I109" s="6" t="s">
        <v>60</v>
      </c>
      <c r="J109" s="6" t="s">
        <v>60</v>
      </c>
    </row>
    <row r="110" spans="2:13" ht="14.5" hidden="1" customHeight="1" outlineLevel="1" x14ac:dyDescent="0.45">
      <c r="B110" t="str">
        <f t="shared" si="7"/>
        <v/>
      </c>
      <c r="D110" t="str">
        <f>J110</f>
        <v>Anti Dumping Duty  Method</v>
      </c>
      <c r="J110" s="6" t="s">
        <v>222</v>
      </c>
      <c r="K110" s="6" t="s">
        <v>222</v>
      </c>
      <c r="L110" s="6" t="s">
        <v>222</v>
      </c>
    </row>
    <row r="111" spans="2:13" ht="14.5" hidden="1" customHeight="1" outlineLevel="1" x14ac:dyDescent="0.45">
      <c r="B111" t="str">
        <f t="shared" si="7"/>
        <v/>
      </c>
      <c r="D111" t="str">
        <f>J111</f>
        <v>Anti Dumping Duty  Tariff Code Type</v>
      </c>
      <c r="J111" s="6" t="s">
        <v>223</v>
      </c>
      <c r="K111" s="6" t="s">
        <v>223</v>
      </c>
      <c r="L111" s="6" t="s">
        <v>223</v>
      </c>
    </row>
    <row r="112" spans="2:13" ht="14.5" hidden="1" customHeight="1" outlineLevel="1" x14ac:dyDescent="0.45">
      <c r="B112" t="str">
        <f t="shared" si="7"/>
        <v/>
      </c>
      <c r="D112" t="str">
        <f>J112</f>
        <v>Anti Dumping Duty  Percentage (%)</v>
      </c>
      <c r="J112" s="6" t="s">
        <v>224</v>
      </c>
      <c r="K112" s="6" t="s">
        <v>224</v>
      </c>
      <c r="L112" s="6" t="s">
        <v>224</v>
      </c>
    </row>
    <row r="113" spans="2:12" ht="14.5" hidden="1" customHeight="1" outlineLevel="1" x14ac:dyDescent="0.45">
      <c r="B113" t="str">
        <f t="shared" si="7"/>
        <v/>
      </c>
      <c r="D113" t="str">
        <f>J113</f>
        <v>Anti Dumping Duty  Specific (MYR)</v>
      </c>
      <c r="J113" s="6" t="s">
        <v>225</v>
      </c>
      <c r="K113" s="6" t="s">
        <v>225</v>
      </c>
      <c r="L113" s="6" t="s">
        <v>225</v>
      </c>
    </row>
    <row r="114" spans="2:12" ht="14.5" hidden="1" customHeight="1" outlineLevel="1" x14ac:dyDescent="0.45">
      <c r="B114" t="str">
        <f t="shared" si="7"/>
        <v/>
      </c>
      <c r="D114" t="str">
        <f>J114</f>
        <v>Anti Dumping Duty  Amt (MYR)</v>
      </c>
      <c r="J114" s="6" t="s">
        <v>226</v>
      </c>
      <c r="K114" s="6" t="s">
        <v>226</v>
      </c>
      <c r="L114" s="6" t="s">
        <v>226</v>
      </c>
    </row>
    <row r="115" spans="2:12" ht="14.5" customHeight="1" collapsed="1" x14ac:dyDescent="0.45"/>
  </sheetData>
  <autoFilter ref="A3:O114" xr:uid="{457D3F28-9A94-4996-A1C6-27A64CB3EFAE}">
    <sortState xmlns:xlrd2="http://schemas.microsoft.com/office/spreadsheetml/2017/richdata2" ref="A4:O114">
      <sortCondition ref="A3:A114"/>
    </sortState>
  </autoFilter>
  <mergeCells count="2">
    <mergeCell ref="A2:B2"/>
    <mergeCell ref="A1:B1"/>
  </mergeCells>
  <phoneticPr fontId="11" type="noConversion"/>
  <conditionalFormatting sqref="A3">
    <cfRule type="notContainsBlanks" dxfId="2" priority="1">
      <formula>LEN(TRIM(A3))&gt;0</formula>
    </cfRule>
  </conditionalFormatting>
  <conditionalFormatting sqref="B3:B1048576">
    <cfRule type="notContainsBlanks" dxfId="1" priority="2">
      <formula>LEN(TRIM(B3))&gt;0</formula>
    </cfRule>
  </conditionalFormatting>
  <conditionalFormatting sqref="L3 K4:K6 K10:K17 K19:K74 L82:L1048576 K99:K100 K103:K107">
    <cfRule type="containsText" dxfId="0" priority="3" operator="containsText" text="FALSE">
      <formula>NOT(ISERROR(SEARCH("FALSE",K3)))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7" x14ac:dyDescent="0.45"/>
  <cols>
    <col min="1" max="1" width="7.4140625" bestFit="1" customWidth="1"/>
    <col min="2" max="2" width="14.25" bestFit="1" customWidth="1"/>
    <col min="3" max="3" width="14" bestFit="1" customWidth="1"/>
    <col min="4" max="4" width="16.58203125" bestFit="1" customWidth="1"/>
    <col min="5" max="5" width="9.83203125" bestFit="1" customWidth="1"/>
    <col min="6" max="6" width="16.58203125" bestFit="1" customWidth="1"/>
    <col min="7" max="8" width="29.75" bestFit="1" customWidth="1"/>
    <col min="9" max="9" width="27.25" bestFit="1" customWidth="1"/>
    <col min="10" max="10" width="15.58203125" bestFit="1" customWidth="1"/>
    <col min="11" max="12" width="33.58203125" bestFit="1" customWidth="1"/>
    <col min="13" max="13" width="14.83203125" bestFit="1" customWidth="1"/>
    <col min="14" max="14" width="19.58203125" bestFit="1" customWidth="1"/>
    <col min="15" max="15" width="20.58203125" bestFit="1" customWidth="1"/>
    <col min="16" max="16" width="21.58203125" bestFit="1" customWidth="1"/>
    <col min="17" max="18" width="20.58203125" bestFit="1" customWidth="1"/>
    <col min="19" max="19" width="21.4140625" bestFit="1" customWidth="1"/>
    <col min="20" max="20" width="19.4140625" bestFit="1" customWidth="1"/>
    <col min="21" max="21" width="19.1640625" bestFit="1" customWidth="1"/>
    <col min="22" max="22" width="26.83203125" bestFit="1" customWidth="1"/>
    <col min="23" max="23" width="29.1640625" bestFit="1" customWidth="1"/>
    <col min="24" max="24" width="28.83203125" bestFit="1" customWidth="1"/>
    <col min="25" max="25" width="24.1640625" bestFit="1" customWidth="1"/>
    <col min="26" max="27" width="29.1640625" bestFit="1" customWidth="1"/>
    <col min="28" max="28" width="18.83203125" bestFit="1" customWidth="1"/>
    <col min="29" max="29" width="25.1640625" bestFit="1" customWidth="1"/>
    <col min="30" max="30" width="23.83203125" bestFit="1" customWidth="1"/>
    <col min="31" max="31" width="25.58203125" bestFit="1" customWidth="1"/>
    <col min="32" max="33" width="25.1640625" bestFit="1" customWidth="1"/>
    <col min="34" max="35" width="25.58203125" bestFit="1" customWidth="1"/>
    <col min="36" max="36" width="23.75" bestFit="1" customWidth="1"/>
    <col min="37" max="37" width="23.1640625" bestFit="1" customWidth="1"/>
    <col min="38" max="38" width="22.1640625" bestFit="1" customWidth="1"/>
    <col min="39" max="39" width="30.58203125" bestFit="1" customWidth="1"/>
    <col min="40" max="41" width="30.4140625" bestFit="1" customWidth="1"/>
    <col min="42" max="43" width="30.58203125" bestFit="1" customWidth="1"/>
    <col min="44" max="44" width="27" bestFit="1" customWidth="1"/>
    <col min="45" max="46" width="27.1640625" bestFit="1" customWidth="1"/>
    <col min="47" max="48" width="27" bestFit="1" customWidth="1"/>
    <col min="49" max="50" width="17.25" bestFit="1" customWidth="1"/>
    <col min="51" max="51" width="18.83203125" bestFit="1" customWidth="1"/>
    <col min="52" max="53" width="17.25" bestFit="1" customWidth="1"/>
    <col min="54" max="54" width="19.83203125" bestFit="1" customWidth="1"/>
    <col min="55" max="55" width="20.4140625" bestFit="1" customWidth="1"/>
    <col min="56" max="56" width="22.1640625" bestFit="1" customWidth="1"/>
    <col min="57" max="57" width="26.58203125" bestFit="1" customWidth="1"/>
    <col min="58" max="58" width="25.75" bestFit="1" customWidth="1"/>
    <col min="59" max="59" width="29" bestFit="1" customWidth="1"/>
    <col min="60" max="60" width="28.1640625" bestFit="1" customWidth="1"/>
    <col min="61" max="61" width="29" bestFit="1" customWidth="1"/>
    <col min="62" max="62" width="27.4140625" bestFit="1" customWidth="1"/>
    <col min="63" max="63" width="25.1640625" bestFit="1" customWidth="1"/>
    <col min="64" max="64" width="26.4140625" bestFit="1" customWidth="1"/>
    <col min="65" max="65" width="27.58203125" bestFit="1" customWidth="1"/>
    <col min="66" max="66" width="28.83203125" bestFit="1" customWidth="1"/>
    <col min="67" max="67" width="27" bestFit="1" customWidth="1"/>
    <col min="68" max="68" width="28.83203125" bestFit="1" customWidth="1"/>
    <col min="69" max="69" width="27" bestFit="1" customWidth="1"/>
    <col min="70" max="70" width="24.83203125" bestFit="1" customWidth="1"/>
    <col min="71" max="71" width="32.75" bestFit="1" customWidth="1"/>
    <col min="72" max="72" width="31.4140625" bestFit="1" customWidth="1"/>
    <col min="73" max="73" width="31.1640625" bestFit="1" customWidth="1"/>
    <col min="74" max="74" width="29.75" bestFit="1" customWidth="1"/>
    <col min="75" max="76" width="26.4140625" bestFit="1" customWidth="1"/>
    <col min="77" max="78" width="27.83203125" bestFit="1" customWidth="1"/>
    <col min="79" max="79" width="25.4140625" bestFit="1" customWidth="1"/>
    <col min="80" max="80" width="26.58203125" bestFit="1" customWidth="1"/>
    <col min="81" max="81" width="25.4140625" bestFit="1" customWidth="1"/>
    <col min="82" max="82" width="21.58203125" bestFit="1" customWidth="1"/>
    <col min="83" max="84" width="22.75" bestFit="1" customWidth="1"/>
    <col min="85" max="86" width="21.83203125" bestFit="1" customWidth="1"/>
    <col min="87" max="87" width="22.75" bestFit="1" customWidth="1"/>
    <col min="88" max="88" width="20.83203125" bestFit="1" customWidth="1"/>
    <col min="89" max="90" width="22.75" bestFit="1" customWidth="1"/>
    <col min="91" max="91" width="22.4140625" bestFit="1" customWidth="1"/>
    <col min="92" max="92" width="20.75" bestFit="1" customWidth="1"/>
    <col min="93" max="94" width="20.4140625" bestFit="1" customWidth="1"/>
    <col min="95" max="96" width="22.75" bestFit="1" customWidth="1"/>
    <col min="97" max="97" width="19.1640625" bestFit="1" customWidth="1"/>
    <col min="98" max="103" width="20.58203125" bestFit="1" customWidth="1"/>
    <col min="104" max="104" width="13.4140625" bestFit="1" customWidth="1"/>
    <col min="105" max="105" width="12.83203125" bestFit="1" customWidth="1"/>
    <col min="106" max="106" width="13.4140625" bestFit="1" customWidth="1"/>
    <col min="107" max="107" width="12.83203125" bestFit="1" customWidth="1"/>
    <col min="108" max="108" width="13.4140625" bestFit="1" customWidth="1"/>
    <col min="109" max="109" width="12.83203125" bestFit="1" customWidth="1"/>
    <col min="110" max="110" width="13.4140625" bestFit="1" customWidth="1"/>
    <col min="111" max="111" width="12.83203125" bestFit="1" customWidth="1"/>
    <col min="112" max="112" width="12.58203125" bestFit="1" customWidth="1"/>
    <col min="113" max="113" width="37.4140625" bestFit="1" customWidth="1"/>
    <col min="114" max="114" width="20.75" bestFit="1" customWidth="1"/>
    <col min="115" max="115" width="34.1640625" bestFit="1" customWidth="1"/>
    <col min="116" max="116" width="12" bestFit="1" customWidth="1"/>
  </cols>
  <sheetData>
    <row r="1" spans="1:116" x14ac:dyDescent="0.45">
      <c r="A1" t="s">
        <v>0</v>
      </c>
      <c r="B1" t="s">
        <v>5</v>
      </c>
      <c r="C1" t="s">
        <v>227</v>
      </c>
    </row>
    <row r="2" spans="1:116" x14ac:dyDescent="0.45">
      <c r="A2" t="s">
        <v>1</v>
      </c>
      <c r="B2" t="s">
        <v>6</v>
      </c>
      <c r="C2" t="s">
        <v>228</v>
      </c>
      <c r="D2" t="s">
        <v>23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59</v>
      </c>
      <c r="N2" t="s">
        <v>237</v>
      </c>
      <c r="O2" t="s">
        <v>238</v>
      </c>
      <c r="P2" t="s">
        <v>30</v>
      </c>
      <c r="Q2" t="s">
        <v>40</v>
      </c>
      <c r="R2" t="s">
        <v>31</v>
      </c>
      <c r="S2" t="s">
        <v>239</v>
      </c>
      <c r="T2" t="s">
        <v>240</v>
      </c>
      <c r="U2" t="s">
        <v>111</v>
      </c>
      <c r="V2" t="s">
        <v>102</v>
      </c>
      <c r="W2" t="s">
        <v>241</v>
      </c>
      <c r="X2" t="s">
        <v>242</v>
      </c>
      <c r="Y2" t="s">
        <v>243</v>
      </c>
      <c r="Z2" t="s">
        <v>99</v>
      </c>
      <c r="AA2" t="s">
        <v>244</v>
      </c>
      <c r="AB2" t="s">
        <v>68</v>
      </c>
      <c r="AC2" t="s">
        <v>245</v>
      </c>
      <c r="AD2" t="s">
        <v>63</v>
      </c>
      <c r="AE2" t="s">
        <v>246</v>
      </c>
      <c r="AF2" t="s">
        <v>247</v>
      </c>
      <c r="AG2" t="s">
        <v>248</v>
      </c>
      <c r="AH2" t="s">
        <v>249</v>
      </c>
      <c r="AI2" t="s">
        <v>50</v>
      </c>
      <c r="AJ2" t="s">
        <v>48</v>
      </c>
      <c r="AK2" t="s">
        <v>87</v>
      </c>
      <c r="AL2" t="s">
        <v>250</v>
      </c>
      <c r="AM2" t="s">
        <v>53</v>
      </c>
      <c r="AN2" t="s">
        <v>89</v>
      </c>
      <c r="AO2" t="s">
        <v>92</v>
      </c>
      <c r="AP2" t="s">
        <v>251</v>
      </c>
      <c r="AQ2" t="s">
        <v>252</v>
      </c>
      <c r="AR2" t="s">
        <v>253</v>
      </c>
      <c r="AS2" t="s">
        <v>254</v>
      </c>
      <c r="AT2" t="s">
        <v>255</v>
      </c>
      <c r="AU2" t="s">
        <v>256</v>
      </c>
      <c r="AV2" t="s">
        <v>257</v>
      </c>
      <c r="AW2" t="s">
        <v>258</v>
      </c>
      <c r="AX2" t="s">
        <v>259</v>
      </c>
      <c r="AY2" t="s">
        <v>260</v>
      </c>
      <c r="AZ2" t="s">
        <v>261</v>
      </c>
      <c r="BA2" t="s">
        <v>262</v>
      </c>
      <c r="BB2" t="s">
        <v>263</v>
      </c>
      <c r="BC2" t="s">
        <v>264</v>
      </c>
      <c r="BD2" t="s">
        <v>265</v>
      </c>
      <c r="BE2" t="s">
        <v>266</v>
      </c>
      <c r="BF2" t="s">
        <v>267</v>
      </c>
      <c r="BG2" t="s">
        <v>268</v>
      </c>
      <c r="BH2" t="s">
        <v>269</v>
      </c>
      <c r="BI2" t="s">
        <v>270</v>
      </c>
      <c r="BJ2" t="s">
        <v>271</v>
      </c>
      <c r="BK2" t="s">
        <v>272</v>
      </c>
      <c r="BL2" t="s">
        <v>273</v>
      </c>
      <c r="BM2" t="s">
        <v>46</v>
      </c>
      <c r="BN2" t="s">
        <v>274</v>
      </c>
      <c r="BO2" t="s">
        <v>275</v>
      </c>
      <c r="BP2" t="s">
        <v>276</v>
      </c>
      <c r="BQ2" t="s">
        <v>277</v>
      </c>
      <c r="BR2" t="s">
        <v>278</v>
      </c>
      <c r="BS2" t="s">
        <v>279</v>
      </c>
      <c r="BT2" t="s">
        <v>280</v>
      </c>
      <c r="BU2" t="s">
        <v>281</v>
      </c>
      <c r="BV2" t="s">
        <v>282</v>
      </c>
      <c r="BW2" t="s">
        <v>283</v>
      </c>
      <c r="BX2" t="s">
        <v>284</v>
      </c>
      <c r="BY2" t="s">
        <v>285</v>
      </c>
      <c r="BZ2" t="s">
        <v>286</v>
      </c>
      <c r="CA2" t="s">
        <v>287</v>
      </c>
      <c r="CB2" t="s">
        <v>72</v>
      </c>
      <c r="CC2" t="s">
        <v>288</v>
      </c>
      <c r="CD2" t="s">
        <v>289</v>
      </c>
      <c r="CE2" t="s">
        <v>290</v>
      </c>
      <c r="CF2" t="s">
        <v>291</v>
      </c>
      <c r="CG2" t="s">
        <v>292</v>
      </c>
      <c r="CH2" t="s">
        <v>293</v>
      </c>
      <c r="CI2" t="s">
        <v>294</v>
      </c>
      <c r="CJ2" t="s">
        <v>295</v>
      </c>
      <c r="CK2" t="s">
        <v>296</v>
      </c>
      <c r="CL2" t="s">
        <v>297</v>
      </c>
      <c r="CM2" t="s">
        <v>298</v>
      </c>
      <c r="CN2" t="s">
        <v>299</v>
      </c>
      <c r="CO2" t="s">
        <v>300</v>
      </c>
      <c r="CP2" t="s">
        <v>301</v>
      </c>
      <c r="CQ2" t="s">
        <v>302</v>
      </c>
      <c r="CR2" t="s">
        <v>303</v>
      </c>
      <c r="CS2" t="s">
        <v>304</v>
      </c>
      <c r="CT2" t="s">
        <v>305</v>
      </c>
      <c r="CU2" t="s">
        <v>306</v>
      </c>
      <c r="CV2" t="s">
        <v>307</v>
      </c>
      <c r="CW2" t="s">
        <v>308</v>
      </c>
      <c r="CX2" t="s">
        <v>309</v>
      </c>
      <c r="CY2" t="s">
        <v>310</v>
      </c>
      <c r="CZ2" t="s">
        <v>311</v>
      </c>
      <c r="DA2" t="s">
        <v>312</v>
      </c>
      <c r="DB2" t="s">
        <v>313</v>
      </c>
      <c r="DC2" t="s">
        <v>314</v>
      </c>
      <c r="DD2" t="s">
        <v>315</v>
      </c>
      <c r="DE2" t="s">
        <v>316</v>
      </c>
      <c r="DF2" t="s">
        <v>317</v>
      </c>
      <c r="DG2" t="s">
        <v>318</v>
      </c>
      <c r="DH2" t="s">
        <v>319</v>
      </c>
      <c r="DI2" t="s">
        <v>320</v>
      </c>
      <c r="DJ2" t="s">
        <v>321</v>
      </c>
      <c r="DK2" t="s">
        <v>322</v>
      </c>
      <c r="DL2" t="s">
        <v>323</v>
      </c>
    </row>
    <row r="3" spans="1:116" x14ac:dyDescent="0.45">
      <c r="A3" t="s">
        <v>1</v>
      </c>
      <c r="B3" t="s">
        <v>7</v>
      </c>
      <c r="C3" t="s">
        <v>324</v>
      </c>
      <c r="D3" t="s">
        <v>32</v>
      </c>
      <c r="E3" t="s">
        <v>23</v>
      </c>
      <c r="F3" t="s">
        <v>229</v>
      </c>
      <c r="G3" t="s">
        <v>232</v>
      </c>
      <c r="H3" t="s">
        <v>233</v>
      </c>
      <c r="I3" t="s">
        <v>234</v>
      </c>
      <c r="J3" t="s">
        <v>235</v>
      </c>
      <c r="K3" t="s">
        <v>236</v>
      </c>
      <c r="L3" t="s">
        <v>59</v>
      </c>
      <c r="M3" t="s">
        <v>40</v>
      </c>
      <c r="N3" t="s">
        <v>50</v>
      </c>
      <c r="O3" t="s">
        <v>48</v>
      </c>
      <c r="P3" t="s">
        <v>46</v>
      </c>
      <c r="Q3" t="s">
        <v>274</v>
      </c>
      <c r="R3" t="s">
        <v>240</v>
      </c>
      <c r="S3" t="s">
        <v>250</v>
      </c>
      <c r="T3" t="s">
        <v>53</v>
      </c>
      <c r="U3" t="s">
        <v>89</v>
      </c>
      <c r="V3" t="s">
        <v>92</v>
      </c>
      <c r="W3" t="s">
        <v>111</v>
      </c>
      <c r="X3" t="s">
        <v>102</v>
      </c>
      <c r="Y3" t="s">
        <v>255</v>
      </c>
      <c r="Z3" t="s">
        <v>247</v>
      </c>
      <c r="AA3" t="s">
        <v>254</v>
      </c>
      <c r="AB3" t="s">
        <v>286</v>
      </c>
      <c r="AC3" t="s">
        <v>252</v>
      </c>
      <c r="AD3" t="s">
        <v>287</v>
      </c>
      <c r="AE3" t="s">
        <v>248</v>
      </c>
      <c r="AF3" t="s">
        <v>87</v>
      </c>
      <c r="AG3" t="s">
        <v>249</v>
      </c>
      <c r="AH3" t="s">
        <v>72</v>
      </c>
      <c r="AI3" t="s">
        <v>30</v>
      </c>
      <c r="AJ3" t="s">
        <v>237</v>
      </c>
      <c r="AK3" t="s">
        <v>251</v>
      </c>
      <c r="AL3" t="s">
        <v>238</v>
      </c>
      <c r="AM3" t="s">
        <v>239</v>
      </c>
      <c r="AN3" t="s">
        <v>253</v>
      </c>
      <c r="AO3" t="s">
        <v>241</v>
      </c>
      <c r="AP3" t="s">
        <v>242</v>
      </c>
      <c r="AQ3" t="s">
        <v>243</v>
      </c>
      <c r="AR3" t="s">
        <v>63</v>
      </c>
      <c r="AS3" t="s">
        <v>246</v>
      </c>
      <c r="AT3" t="s">
        <v>245</v>
      </c>
      <c r="AU3" t="s">
        <v>99</v>
      </c>
      <c r="AV3" t="s">
        <v>256</v>
      </c>
      <c r="AW3" t="s">
        <v>257</v>
      </c>
      <c r="AX3" t="s">
        <v>244</v>
      </c>
      <c r="AY3" t="s">
        <v>68</v>
      </c>
      <c r="AZ3" t="s">
        <v>258</v>
      </c>
      <c r="BA3" t="s">
        <v>259</v>
      </c>
      <c r="BB3" t="s">
        <v>260</v>
      </c>
      <c r="BC3" t="s">
        <v>261</v>
      </c>
      <c r="BD3" t="s">
        <v>262</v>
      </c>
      <c r="BE3" t="s">
        <v>263</v>
      </c>
      <c r="BF3" t="s">
        <v>264</v>
      </c>
      <c r="BG3" t="s">
        <v>265</v>
      </c>
      <c r="BH3" t="s">
        <v>266</v>
      </c>
      <c r="BI3" t="s">
        <v>267</v>
      </c>
      <c r="BJ3" t="s">
        <v>268</v>
      </c>
      <c r="BK3" t="s">
        <v>269</v>
      </c>
      <c r="BL3" t="s">
        <v>270</v>
      </c>
      <c r="BM3" t="s">
        <v>271</v>
      </c>
      <c r="BN3" t="s">
        <v>272</v>
      </c>
      <c r="BO3" t="s">
        <v>273</v>
      </c>
      <c r="BP3" t="s">
        <v>275</v>
      </c>
      <c r="BQ3" t="s">
        <v>276</v>
      </c>
      <c r="BR3" t="s">
        <v>277</v>
      </c>
      <c r="BS3" t="s">
        <v>278</v>
      </c>
      <c r="BT3" t="s">
        <v>279</v>
      </c>
      <c r="BU3" t="s">
        <v>280</v>
      </c>
      <c r="BV3" t="s">
        <v>281</v>
      </c>
      <c r="BW3" t="s">
        <v>282</v>
      </c>
      <c r="BX3" t="s">
        <v>283</v>
      </c>
      <c r="BY3" t="s">
        <v>284</v>
      </c>
      <c r="BZ3" t="s">
        <v>285</v>
      </c>
      <c r="CA3" t="s">
        <v>288</v>
      </c>
      <c r="CB3" t="s">
        <v>289</v>
      </c>
      <c r="CC3" t="s">
        <v>290</v>
      </c>
      <c r="CD3" t="s">
        <v>291</v>
      </c>
      <c r="CE3" t="s">
        <v>292</v>
      </c>
      <c r="CF3" t="s">
        <v>293</v>
      </c>
      <c r="CG3" t="s">
        <v>294</v>
      </c>
      <c r="CH3" t="s">
        <v>295</v>
      </c>
      <c r="CI3" t="s">
        <v>296</v>
      </c>
      <c r="CJ3" t="s">
        <v>297</v>
      </c>
      <c r="CK3" t="s">
        <v>298</v>
      </c>
      <c r="CL3" t="s">
        <v>299</v>
      </c>
      <c r="CM3" t="s">
        <v>300</v>
      </c>
      <c r="CN3" t="s">
        <v>301</v>
      </c>
      <c r="CO3" t="s">
        <v>302</v>
      </c>
      <c r="CP3" t="s">
        <v>303</v>
      </c>
      <c r="CQ3" t="s">
        <v>304</v>
      </c>
      <c r="CR3" t="s">
        <v>305</v>
      </c>
      <c r="CS3" t="s">
        <v>306</v>
      </c>
      <c r="CT3" t="s">
        <v>307</v>
      </c>
      <c r="CU3" t="s">
        <v>308</v>
      </c>
      <c r="CV3" t="s">
        <v>309</v>
      </c>
      <c r="CW3" t="s">
        <v>310</v>
      </c>
      <c r="CX3" t="s">
        <v>311</v>
      </c>
      <c r="CY3" t="s">
        <v>312</v>
      </c>
      <c r="CZ3" t="s">
        <v>313</v>
      </c>
      <c r="DA3" t="s">
        <v>314</v>
      </c>
      <c r="DB3" t="s">
        <v>315</v>
      </c>
      <c r="DC3" t="s">
        <v>316</v>
      </c>
      <c r="DD3" t="s">
        <v>317</v>
      </c>
      <c r="DE3" t="s">
        <v>318</v>
      </c>
    </row>
    <row r="4" spans="1:116" x14ac:dyDescent="0.45">
      <c r="D4" t="s">
        <v>24</v>
      </c>
      <c r="E4" t="s">
        <v>82</v>
      </c>
      <c r="F4" t="s">
        <v>26</v>
      </c>
      <c r="G4" t="s">
        <v>220</v>
      </c>
      <c r="H4" t="s">
        <v>221</v>
      </c>
      <c r="I4" t="s">
        <v>49</v>
      </c>
      <c r="J4" t="s">
        <v>47</v>
      </c>
      <c r="K4" t="s">
        <v>54</v>
      </c>
      <c r="L4" t="s">
        <v>88</v>
      </c>
      <c r="M4" t="s">
        <v>91</v>
      </c>
      <c r="N4" t="s">
        <v>94</v>
      </c>
      <c r="O4" t="s">
        <v>57</v>
      </c>
      <c r="P4" t="s">
        <v>56</v>
      </c>
      <c r="Q4" t="s">
        <v>95</v>
      </c>
      <c r="R4" t="s">
        <v>96</v>
      </c>
      <c r="S4" t="s">
        <v>60</v>
      </c>
      <c r="T4" t="s">
        <v>58</v>
      </c>
      <c r="U4" t="s">
        <v>97</v>
      </c>
      <c r="V4" t="s">
        <v>98</v>
      </c>
      <c r="W4" t="s">
        <v>29</v>
      </c>
      <c r="X4" t="s">
        <v>100</v>
      </c>
      <c r="Y4" t="s">
        <v>35</v>
      </c>
      <c r="Z4" t="s">
        <v>39</v>
      </c>
      <c r="AA4" t="s">
        <v>101</v>
      </c>
      <c r="AB4" t="s">
        <v>62</v>
      </c>
      <c r="AC4" t="s">
        <v>67</v>
      </c>
      <c r="AD4" t="s">
        <v>104</v>
      </c>
      <c r="AE4" t="s">
        <v>106</v>
      </c>
      <c r="AF4" t="s">
        <v>108</v>
      </c>
      <c r="AG4" t="s">
        <v>110</v>
      </c>
      <c r="AH4" t="s">
        <v>113</v>
      </c>
      <c r="AI4" t="s">
        <v>115</v>
      </c>
      <c r="AJ4" t="s">
        <v>117</v>
      </c>
      <c r="AK4" t="s">
        <v>119</v>
      </c>
      <c r="AL4" t="s">
        <v>120</v>
      </c>
      <c r="AM4" t="s">
        <v>121</v>
      </c>
      <c r="AN4" t="s">
        <v>122</v>
      </c>
      <c r="AO4" t="s">
        <v>124</v>
      </c>
      <c r="AP4" t="s">
        <v>125</v>
      </c>
      <c r="AQ4" t="s">
        <v>127</v>
      </c>
      <c r="AR4" t="s">
        <v>129</v>
      </c>
      <c r="AS4" t="s">
        <v>130</v>
      </c>
      <c r="AT4" t="s">
        <v>131</v>
      </c>
      <c r="AU4" t="s">
        <v>132</v>
      </c>
      <c r="AV4" t="s">
        <v>78</v>
      </c>
      <c r="AW4" t="s">
        <v>134</v>
      </c>
      <c r="AX4" t="s">
        <v>135</v>
      </c>
      <c r="AY4" t="s">
        <v>137</v>
      </c>
      <c r="AZ4" t="s">
        <v>138</v>
      </c>
      <c r="BA4" t="s">
        <v>139</v>
      </c>
      <c r="BB4" t="s">
        <v>71</v>
      </c>
      <c r="BC4" t="s">
        <v>74</v>
      </c>
      <c r="BD4" t="s">
        <v>76</v>
      </c>
      <c r="BE4" t="s">
        <v>141</v>
      </c>
      <c r="BF4" t="s">
        <v>143</v>
      </c>
      <c r="BG4" t="s">
        <v>145</v>
      </c>
      <c r="BH4" t="s">
        <v>147</v>
      </c>
      <c r="BI4" t="s">
        <v>149</v>
      </c>
      <c r="BJ4" t="s">
        <v>147</v>
      </c>
      <c r="BK4" t="s">
        <v>151</v>
      </c>
      <c r="BL4" t="s">
        <v>153</v>
      </c>
      <c r="BM4" t="s">
        <v>155</v>
      </c>
      <c r="BN4" t="s">
        <v>157</v>
      </c>
      <c r="BO4" t="s">
        <v>159</v>
      </c>
      <c r="BP4" t="s">
        <v>161</v>
      </c>
      <c r="BQ4" t="s">
        <v>159</v>
      </c>
      <c r="BR4" t="s">
        <v>163</v>
      </c>
      <c r="BS4" t="s">
        <v>222</v>
      </c>
      <c r="BT4" t="s">
        <v>223</v>
      </c>
      <c r="BU4" t="s">
        <v>224</v>
      </c>
      <c r="BV4" t="s">
        <v>225</v>
      </c>
      <c r="BW4" t="s">
        <v>226</v>
      </c>
      <c r="BX4" t="s">
        <v>165</v>
      </c>
      <c r="BY4" t="s">
        <v>167</v>
      </c>
      <c r="BZ4" t="s">
        <v>169</v>
      </c>
      <c r="CA4" t="s">
        <v>171</v>
      </c>
      <c r="CB4" t="s">
        <v>173</v>
      </c>
      <c r="CC4" t="s">
        <v>171</v>
      </c>
      <c r="CD4" t="s">
        <v>175</v>
      </c>
    </row>
    <row r="6" spans="1:116" x14ac:dyDescent="0.45">
      <c r="A6" t="s">
        <v>2</v>
      </c>
      <c r="B6" t="s">
        <v>8</v>
      </c>
      <c r="C6" t="s">
        <v>325</v>
      </c>
      <c r="D6" s="1" t="s">
        <v>22</v>
      </c>
      <c r="E6" s="2" t="s">
        <v>24</v>
      </c>
      <c r="F6" s="2" t="s">
        <v>81</v>
      </c>
      <c r="G6" s="2" t="s">
        <v>25</v>
      </c>
      <c r="H6" s="2" t="s">
        <v>83</v>
      </c>
      <c r="I6" s="2" t="s">
        <v>85</v>
      </c>
      <c r="J6" s="2" t="s">
        <v>26</v>
      </c>
      <c r="K6" s="2" t="s">
        <v>49</v>
      </c>
      <c r="L6" s="2" t="s">
        <v>47</v>
      </c>
      <c r="M6" s="2" t="s">
        <v>52</v>
      </c>
      <c r="N6" s="2" t="s">
        <v>88</v>
      </c>
      <c r="O6" s="2" t="s">
        <v>90</v>
      </c>
      <c r="P6" s="2" t="s">
        <v>93</v>
      </c>
      <c r="Q6" s="2" t="s">
        <v>56</v>
      </c>
      <c r="R6" s="2" t="s">
        <v>95</v>
      </c>
      <c r="S6" s="2" t="s">
        <v>96</v>
      </c>
      <c r="T6" s="2" t="s">
        <v>58</v>
      </c>
      <c r="U6" s="2" t="s">
        <v>97</v>
      </c>
      <c r="V6" s="2" t="s">
        <v>98</v>
      </c>
      <c r="W6" s="2" t="s">
        <v>29</v>
      </c>
      <c r="X6" s="2" t="s">
        <v>100</v>
      </c>
      <c r="Y6" s="2" t="s">
        <v>35</v>
      </c>
      <c r="Z6" s="2" t="s">
        <v>39</v>
      </c>
      <c r="AA6" s="2" t="s">
        <v>101</v>
      </c>
      <c r="AB6" s="2" t="s">
        <v>64</v>
      </c>
      <c r="AC6" s="2" t="s">
        <v>69</v>
      </c>
      <c r="AD6" s="2" t="s">
        <v>103</v>
      </c>
      <c r="AE6" s="2" t="s">
        <v>105</v>
      </c>
      <c r="AF6" s="2" t="s">
        <v>107</v>
      </c>
      <c r="AG6" s="2" t="s">
        <v>109</v>
      </c>
      <c r="AH6" s="2" t="s">
        <v>112</v>
      </c>
      <c r="AI6" s="2" t="s">
        <v>114</v>
      </c>
      <c r="AJ6" s="2" t="s">
        <v>116</v>
      </c>
      <c r="AK6" s="2" t="s">
        <v>118</v>
      </c>
      <c r="AL6" s="2" t="s">
        <v>120</v>
      </c>
      <c r="AM6" s="2" t="s">
        <v>121</v>
      </c>
      <c r="AN6" s="2" t="s">
        <v>122</v>
      </c>
      <c r="AO6" s="2" t="s">
        <v>123</v>
      </c>
      <c r="AP6" s="2" t="s">
        <v>125</v>
      </c>
      <c r="AQ6" s="2" t="s">
        <v>126</v>
      </c>
      <c r="AR6" s="2" t="s">
        <v>128</v>
      </c>
      <c r="AS6" s="2" t="s">
        <v>130</v>
      </c>
      <c r="AT6" s="2" t="s">
        <v>131</v>
      </c>
      <c r="AU6" s="2" t="s">
        <v>132</v>
      </c>
      <c r="AV6" s="2" t="s">
        <v>78</v>
      </c>
      <c r="AW6" s="2" t="s">
        <v>133</v>
      </c>
      <c r="AX6" s="2" t="s">
        <v>135</v>
      </c>
      <c r="AY6" s="2" t="s">
        <v>136</v>
      </c>
      <c r="AZ6" s="2" t="s">
        <v>138</v>
      </c>
      <c r="BA6" s="2" t="s">
        <v>139</v>
      </c>
      <c r="BB6" s="2" t="s">
        <v>71</v>
      </c>
      <c r="BC6" s="2" t="s">
        <v>74</v>
      </c>
      <c r="BD6" s="2" t="s">
        <v>76</v>
      </c>
      <c r="BE6" s="2" t="s">
        <v>140</v>
      </c>
      <c r="BF6" s="2" t="s">
        <v>142</v>
      </c>
      <c r="BG6" s="2" t="s">
        <v>144</v>
      </c>
      <c r="BH6" s="2" t="s">
        <v>146</v>
      </c>
      <c r="BI6" s="2" t="s">
        <v>148</v>
      </c>
      <c r="BJ6" s="2" t="s">
        <v>150</v>
      </c>
      <c r="BK6" s="2" t="s">
        <v>152</v>
      </c>
      <c r="BL6" s="2" t="s">
        <v>154</v>
      </c>
      <c r="BM6" s="2" t="s">
        <v>156</v>
      </c>
      <c r="BN6" s="2" t="s">
        <v>158</v>
      </c>
      <c r="BO6" s="2" t="s">
        <v>160</v>
      </c>
      <c r="BP6" s="2" t="s">
        <v>162</v>
      </c>
      <c r="BQ6" s="2" t="s">
        <v>164</v>
      </c>
      <c r="BR6" s="2" t="s">
        <v>166</v>
      </c>
      <c r="BS6" s="2" t="s">
        <v>168</v>
      </c>
      <c r="BT6" s="2" t="s">
        <v>170</v>
      </c>
      <c r="BU6" s="2" t="s">
        <v>172</v>
      </c>
      <c r="BV6" s="2" t="s">
        <v>174</v>
      </c>
      <c r="BW6" s="2" t="s">
        <v>176</v>
      </c>
      <c r="BX6" s="2" t="s">
        <v>178</v>
      </c>
      <c r="BY6" s="2" t="s">
        <v>180</v>
      </c>
      <c r="BZ6" s="2" t="s">
        <v>182</v>
      </c>
      <c r="CA6" s="2" t="s">
        <v>183</v>
      </c>
      <c r="CB6" s="2" t="s">
        <v>185</v>
      </c>
      <c r="CC6" s="2" t="s">
        <v>187</v>
      </c>
      <c r="CD6" s="2" t="s">
        <v>189</v>
      </c>
      <c r="CE6" s="2" t="s">
        <v>191</v>
      </c>
      <c r="CF6" s="2" t="s">
        <v>193</v>
      </c>
      <c r="CG6" s="2" t="s">
        <v>194</v>
      </c>
      <c r="CH6" s="2" t="s">
        <v>196</v>
      </c>
      <c r="CI6" s="2" t="s">
        <v>198</v>
      </c>
      <c r="CJ6" s="2" t="s">
        <v>200</v>
      </c>
      <c r="CK6" s="2" t="s">
        <v>202</v>
      </c>
      <c r="CL6" s="2" t="s">
        <v>204</v>
      </c>
      <c r="CM6" s="2" t="s">
        <v>205</v>
      </c>
      <c r="CN6" s="2" t="s">
        <v>207</v>
      </c>
      <c r="CO6" s="2" t="s">
        <v>209</v>
      </c>
      <c r="CP6" s="2" t="s">
        <v>211</v>
      </c>
      <c r="CQ6" s="2" t="s">
        <v>213</v>
      </c>
      <c r="CR6" s="2" t="s">
        <v>215</v>
      </c>
      <c r="CS6" s="2" t="s">
        <v>216</v>
      </c>
      <c r="CT6" s="2" t="s">
        <v>218</v>
      </c>
      <c r="CU6" s="3" t="s">
        <v>44</v>
      </c>
    </row>
    <row r="7" spans="1:116" x14ac:dyDescent="0.45">
      <c r="A7" t="s">
        <v>2</v>
      </c>
      <c r="B7" t="s">
        <v>8</v>
      </c>
      <c r="C7" t="s">
        <v>17</v>
      </c>
      <c r="D7" s="1" t="s">
        <v>22</v>
      </c>
      <c r="E7" s="2" t="s">
        <v>24</v>
      </c>
      <c r="F7" s="2" t="s">
        <v>81</v>
      </c>
      <c r="G7" s="2" t="s">
        <v>25</v>
      </c>
      <c r="H7" s="2" t="s">
        <v>83</v>
      </c>
      <c r="I7" s="2" t="s">
        <v>85</v>
      </c>
      <c r="J7" s="2" t="s">
        <v>26</v>
      </c>
      <c r="K7" s="2" t="s">
        <v>49</v>
      </c>
      <c r="L7" s="2" t="s">
        <v>47</v>
      </c>
      <c r="M7" s="2" t="s">
        <v>52</v>
      </c>
      <c r="N7" s="2" t="s">
        <v>88</v>
      </c>
      <c r="O7" s="2" t="s">
        <v>90</v>
      </c>
      <c r="P7" s="2" t="s">
        <v>93</v>
      </c>
      <c r="Q7" s="2" t="s">
        <v>56</v>
      </c>
      <c r="R7" s="2" t="s">
        <v>95</v>
      </c>
      <c r="S7" s="2" t="s">
        <v>96</v>
      </c>
      <c r="T7" s="2" t="s">
        <v>58</v>
      </c>
      <c r="U7" s="2" t="s">
        <v>97</v>
      </c>
      <c r="V7" s="2" t="s">
        <v>98</v>
      </c>
      <c r="W7" s="2" t="s">
        <v>29</v>
      </c>
      <c r="X7" s="2" t="s">
        <v>100</v>
      </c>
      <c r="Y7" s="2" t="s">
        <v>35</v>
      </c>
      <c r="Z7" s="2" t="s">
        <v>39</v>
      </c>
      <c r="AA7" s="2" t="s">
        <v>326</v>
      </c>
      <c r="AB7" s="2" t="s">
        <v>101</v>
      </c>
      <c r="AC7" s="2" t="s">
        <v>64</v>
      </c>
      <c r="AD7" s="2" t="s">
        <v>69</v>
      </c>
      <c r="AE7" s="2" t="s">
        <v>103</v>
      </c>
      <c r="AF7" s="2" t="s">
        <v>105</v>
      </c>
      <c r="AG7" s="2" t="s">
        <v>107</v>
      </c>
      <c r="AH7" s="2" t="s">
        <v>109</v>
      </c>
      <c r="AI7" s="2" t="s">
        <v>112</v>
      </c>
      <c r="AJ7" s="2" t="s">
        <v>114</v>
      </c>
      <c r="AK7" s="2" t="s">
        <v>116</v>
      </c>
      <c r="AL7" s="2" t="s">
        <v>118</v>
      </c>
      <c r="AM7" s="2" t="s">
        <v>120</v>
      </c>
      <c r="AN7" s="2" t="s">
        <v>121</v>
      </c>
      <c r="AO7" s="2" t="s">
        <v>122</v>
      </c>
      <c r="AP7" s="2" t="s">
        <v>123</v>
      </c>
      <c r="AQ7" s="2" t="s">
        <v>125</v>
      </c>
      <c r="AR7" s="2" t="s">
        <v>126</v>
      </c>
      <c r="AS7" s="2" t="s">
        <v>128</v>
      </c>
      <c r="AT7" s="2" t="s">
        <v>130</v>
      </c>
      <c r="AU7" s="2" t="s">
        <v>131</v>
      </c>
      <c r="AV7" s="2" t="s">
        <v>132</v>
      </c>
      <c r="AW7" s="2" t="s">
        <v>78</v>
      </c>
      <c r="AX7" s="2" t="s">
        <v>133</v>
      </c>
      <c r="AY7" s="2" t="s">
        <v>135</v>
      </c>
      <c r="AZ7" s="2" t="s">
        <v>136</v>
      </c>
      <c r="BA7" s="2" t="s">
        <v>138</v>
      </c>
      <c r="BB7" s="2" t="s">
        <v>139</v>
      </c>
      <c r="BC7" s="2" t="s">
        <v>71</v>
      </c>
      <c r="BD7" s="2" t="s">
        <v>140</v>
      </c>
      <c r="BE7" s="2" t="s">
        <v>142</v>
      </c>
      <c r="BF7" s="2" t="s">
        <v>144</v>
      </c>
      <c r="BG7" s="2" t="s">
        <v>146</v>
      </c>
      <c r="BH7" s="2" t="s">
        <v>148</v>
      </c>
      <c r="BI7" s="2" t="s">
        <v>150</v>
      </c>
      <c r="BJ7" s="2" t="s">
        <v>152</v>
      </c>
      <c r="BK7" s="2" t="s">
        <v>154</v>
      </c>
      <c r="BL7" s="2" t="s">
        <v>156</v>
      </c>
      <c r="BM7" s="2" t="s">
        <v>158</v>
      </c>
      <c r="BN7" s="2" t="s">
        <v>160</v>
      </c>
      <c r="BO7" s="2" t="s">
        <v>162</v>
      </c>
      <c r="BP7" s="2" t="s">
        <v>164</v>
      </c>
      <c r="BQ7" s="2" t="s">
        <v>166</v>
      </c>
      <c r="BR7" s="2" t="s">
        <v>168</v>
      </c>
      <c r="BS7" s="2" t="s">
        <v>170</v>
      </c>
      <c r="BT7" s="2" t="s">
        <v>172</v>
      </c>
      <c r="BU7" s="2" t="s">
        <v>174</v>
      </c>
      <c r="BV7" s="2" t="s">
        <v>176</v>
      </c>
      <c r="BW7" s="2" t="s">
        <v>178</v>
      </c>
      <c r="BX7" s="2" t="s">
        <v>180</v>
      </c>
      <c r="BY7" s="2" t="s">
        <v>182</v>
      </c>
      <c r="BZ7" s="2" t="s">
        <v>183</v>
      </c>
      <c r="CA7" s="2" t="s">
        <v>185</v>
      </c>
      <c r="CB7" s="2" t="s">
        <v>187</v>
      </c>
      <c r="CC7" s="2" t="s">
        <v>189</v>
      </c>
      <c r="CD7" s="2" t="s">
        <v>191</v>
      </c>
      <c r="CE7" s="2" t="s">
        <v>193</v>
      </c>
      <c r="CF7" s="2" t="s">
        <v>194</v>
      </c>
      <c r="CG7" s="2" t="s">
        <v>196</v>
      </c>
      <c r="CH7" s="2" t="s">
        <v>198</v>
      </c>
      <c r="CI7" s="2" t="s">
        <v>200</v>
      </c>
      <c r="CJ7" s="2" t="s">
        <v>202</v>
      </c>
      <c r="CK7" s="2" t="s">
        <v>204</v>
      </c>
      <c r="CL7" s="2" t="s">
        <v>205</v>
      </c>
      <c r="CM7" s="2" t="s">
        <v>207</v>
      </c>
      <c r="CN7" s="2" t="s">
        <v>209</v>
      </c>
      <c r="CO7" s="2" t="s">
        <v>211</v>
      </c>
      <c r="CP7" s="2" t="s">
        <v>213</v>
      </c>
      <c r="CQ7" s="2" t="s">
        <v>215</v>
      </c>
      <c r="CR7" s="2" t="s">
        <v>216</v>
      </c>
      <c r="CS7" s="2" t="s">
        <v>218</v>
      </c>
      <c r="CT7" s="3" t="s">
        <v>44</v>
      </c>
    </row>
    <row r="9" spans="1:116" x14ac:dyDescent="0.45">
      <c r="A9" t="s">
        <v>2</v>
      </c>
      <c r="B9" t="s">
        <v>9</v>
      </c>
      <c r="C9" t="s">
        <v>17</v>
      </c>
      <c r="D9" s="4" t="s">
        <v>24</v>
      </c>
      <c r="E9" s="4" t="s">
        <v>82</v>
      </c>
      <c r="F9" s="4" t="s">
        <v>25</v>
      </c>
      <c r="G9" s="4" t="s">
        <v>84</v>
      </c>
      <c r="H9" s="4" t="s">
        <v>86</v>
      </c>
      <c r="I9" s="4" t="s">
        <v>26</v>
      </c>
      <c r="J9" s="4" t="s">
        <v>220</v>
      </c>
      <c r="K9" s="4" t="s">
        <v>221</v>
      </c>
      <c r="L9" s="4" t="s">
        <v>49</v>
      </c>
      <c r="M9" s="4" t="s">
        <v>47</v>
      </c>
      <c r="N9" s="4" t="s">
        <v>54</v>
      </c>
      <c r="O9" s="4" t="s">
        <v>88</v>
      </c>
      <c r="P9" s="4" t="s">
        <v>91</v>
      </c>
      <c r="Q9" s="4" t="s">
        <v>94</v>
      </c>
      <c r="R9" s="4" t="s">
        <v>57</v>
      </c>
      <c r="S9" s="4" t="s">
        <v>56</v>
      </c>
      <c r="T9" s="4" t="s">
        <v>95</v>
      </c>
      <c r="U9" s="4" t="s">
        <v>96</v>
      </c>
      <c r="V9" s="4" t="s">
        <v>60</v>
      </c>
      <c r="W9" s="4" t="s">
        <v>58</v>
      </c>
      <c r="X9" s="4" t="s">
        <v>97</v>
      </c>
      <c r="Y9" s="4" t="s">
        <v>98</v>
      </c>
      <c r="Z9" s="4" t="s">
        <v>29</v>
      </c>
      <c r="AA9" s="4" t="s">
        <v>100</v>
      </c>
      <c r="AB9" s="4" t="s">
        <v>36</v>
      </c>
      <c r="AC9" s="4" t="s">
        <v>41</v>
      </c>
      <c r="AD9" s="4" t="s">
        <v>101</v>
      </c>
      <c r="AE9" s="4" t="s">
        <v>62</v>
      </c>
      <c r="AF9" s="4" t="s">
        <v>67</v>
      </c>
      <c r="AG9" s="4" t="s">
        <v>104</v>
      </c>
      <c r="AH9" s="4" t="s">
        <v>106</v>
      </c>
      <c r="AI9" s="4" t="s">
        <v>108</v>
      </c>
      <c r="AJ9" s="4" t="s">
        <v>110</v>
      </c>
      <c r="AK9" s="4" t="s">
        <v>113</v>
      </c>
      <c r="AL9" s="4" t="s">
        <v>115</v>
      </c>
      <c r="AM9" s="4" t="s">
        <v>117</v>
      </c>
      <c r="AN9" s="4" t="s">
        <v>119</v>
      </c>
      <c r="AO9" s="4" t="s">
        <v>120</v>
      </c>
      <c r="AP9" s="4" t="s">
        <v>121</v>
      </c>
      <c r="AQ9" s="4" t="s">
        <v>122</v>
      </c>
      <c r="AR9" s="4" t="s">
        <v>124</v>
      </c>
      <c r="AS9" s="4" t="s">
        <v>125</v>
      </c>
      <c r="AT9" s="4" t="s">
        <v>127</v>
      </c>
      <c r="AU9" s="4" t="s">
        <v>129</v>
      </c>
      <c r="AV9" s="4" t="s">
        <v>130</v>
      </c>
      <c r="AW9" s="4" t="s">
        <v>131</v>
      </c>
      <c r="AX9" s="4" t="s">
        <v>132</v>
      </c>
      <c r="AY9" s="4" t="s">
        <v>78</v>
      </c>
      <c r="AZ9" s="4" t="s">
        <v>134</v>
      </c>
      <c r="BA9" s="4" t="s">
        <v>135</v>
      </c>
      <c r="BB9" s="4" t="s">
        <v>137</v>
      </c>
      <c r="BC9" s="4" t="s">
        <v>138</v>
      </c>
      <c r="BD9" s="4" t="s">
        <v>139</v>
      </c>
      <c r="BE9" s="4" t="s">
        <v>71</v>
      </c>
      <c r="BF9" s="4" t="s">
        <v>74</v>
      </c>
      <c r="BG9" s="4" t="s">
        <v>76</v>
      </c>
      <c r="BH9" s="4" t="s">
        <v>141</v>
      </c>
      <c r="BI9" s="4" t="s">
        <v>143</v>
      </c>
      <c r="BJ9" s="4" t="s">
        <v>145</v>
      </c>
      <c r="BK9" s="4" t="s">
        <v>149</v>
      </c>
      <c r="BL9" s="4" t="s">
        <v>151</v>
      </c>
      <c r="BM9" s="4" t="s">
        <v>153</v>
      </c>
      <c r="BN9" s="4" t="s">
        <v>155</v>
      </c>
      <c r="BO9" s="4" t="s">
        <v>157</v>
      </c>
      <c r="BP9" s="4" t="s">
        <v>161</v>
      </c>
      <c r="BQ9" s="4" t="s">
        <v>163</v>
      </c>
      <c r="BR9" s="4" t="s">
        <v>165</v>
      </c>
      <c r="BS9" s="4" t="s">
        <v>167</v>
      </c>
      <c r="BT9" s="4" t="s">
        <v>169</v>
      </c>
      <c r="BU9" s="4" t="s">
        <v>173</v>
      </c>
      <c r="BV9" s="4" t="s">
        <v>175</v>
      </c>
      <c r="BW9" s="4" t="s">
        <v>177</v>
      </c>
      <c r="BX9" s="4" t="s">
        <v>179</v>
      </c>
      <c r="BY9" s="4" t="s">
        <v>181</v>
      </c>
      <c r="BZ9" s="4" t="s">
        <v>184</v>
      </c>
      <c r="CA9" s="4" t="s">
        <v>186</v>
      </c>
      <c r="CB9" s="4" t="s">
        <v>188</v>
      </c>
      <c r="CC9" s="4" t="s">
        <v>190</v>
      </c>
      <c r="CD9" s="4" t="s">
        <v>192</v>
      </c>
      <c r="CE9" s="4" t="s">
        <v>195</v>
      </c>
      <c r="CF9" s="4" t="s">
        <v>197</v>
      </c>
      <c r="CG9" s="4" t="s">
        <v>199</v>
      </c>
      <c r="CH9" s="4" t="s">
        <v>201</v>
      </c>
      <c r="CI9" s="4" t="s">
        <v>203</v>
      </c>
      <c r="CJ9" s="4" t="s">
        <v>206</v>
      </c>
      <c r="CK9" s="4" t="s">
        <v>208</v>
      </c>
      <c r="CL9" s="4" t="s">
        <v>210</v>
      </c>
      <c r="CM9" s="4" t="s">
        <v>212</v>
      </c>
      <c r="CN9" s="4" t="s">
        <v>214</v>
      </c>
      <c r="CO9" s="4" t="s">
        <v>217</v>
      </c>
      <c r="CP9" s="4" t="s">
        <v>219</v>
      </c>
    </row>
    <row r="10" spans="1:116" x14ac:dyDescent="0.45">
      <c r="A10" t="s">
        <v>2</v>
      </c>
      <c r="B10" t="s">
        <v>9</v>
      </c>
      <c r="C10" t="s">
        <v>327</v>
      </c>
      <c r="D10" t="s">
        <v>24</v>
      </c>
      <c r="E10" t="s">
        <v>82</v>
      </c>
      <c r="F10" t="s">
        <v>26</v>
      </c>
      <c r="G10" t="s">
        <v>220</v>
      </c>
      <c r="H10" t="s">
        <v>221</v>
      </c>
      <c r="I10" t="s">
        <v>49</v>
      </c>
      <c r="J10" t="s">
        <v>47</v>
      </c>
      <c r="K10" t="s">
        <v>54</v>
      </c>
      <c r="L10" t="s">
        <v>88</v>
      </c>
      <c r="M10" t="s">
        <v>91</v>
      </c>
      <c r="N10" t="s">
        <v>94</v>
      </c>
      <c r="O10" t="s">
        <v>57</v>
      </c>
      <c r="P10" t="s">
        <v>56</v>
      </c>
      <c r="Q10" t="s">
        <v>95</v>
      </c>
      <c r="R10" t="s">
        <v>96</v>
      </c>
      <c r="S10" t="s">
        <v>60</v>
      </c>
      <c r="T10" t="s">
        <v>58</v>
      </c>
      <c r="U10" t="s">
        <v>97</v>
      </c>
      <c r="V10" t="s">
        <v>98</v>
      </c>
      <c r="W10" t="s">
        <v>29</v>
      </c>
      <c r="X10" t="s">
        <v>100</v>
      </c>
      <c r="Y10" t="s">
        <v>35</v>
      </c>
      <c r="Z10" t="s">
        <v>39</v>
      </c>
      <c r="AA10" t="s">
        <v>101</v>
      </c>
      <c r="AB10" t="s">
        <v>62</v>
      </c>
      <c r="AC10" t="s">
        <v>67</v>
      </c>
      <c r="AD10" t="s">
        <v>104</v>
      </c>
      <c r="AE10" t="s">
        <v>106</v>
      </c>
      <c r="AF10" t="s">
        <v>108</v>
      </c>
      <c r="AG10" t="s">
        <v>110</v>
      </c>
      <c r="AH10" t="s">
        <v>113</v>
      </c>
      <c r="AI10" t="s">
        <v>115</v>
      </c>
      <c r="AJ10" t="s">
        <v>117</v>
      </c>
      <c r="AK10" t="s">
        <v>119</v>
      </c>
      <c r="AL10" t="s">
        <v>120</v>
      </c>
      <c r="AM10" t="s">
        <v>121</v>
      </c>
      <c r="AN10" t="s">
        <v>122</v>
      </c>
      <c r="AO10" t="s">
        <v>124</v>
      </c>
      <c r="AP10" t="s">
        <v>125</v>
      </c>
      <c r="AQ10" t="s">
        <v>127</v>
      </c>
      <c r="AR10" t="s">
        <v>129</v>
      </c>
      <c r="AS10" t="s">
        <v>130</v>
      </c>
      <c r="AT10" t="s">
        <v>131</v>
      </c>
      <c r="AU10" t="s">
        <v>132</v>
      </c>
      <c r="AV10" t="s">
        <v>78</v>
      </c>
      <c r="AW10" t="s">
        <v>134</v>
      </c>
      <c r="AX10" t="s">
        <v>135</v>
      </c>
      <c r="AY10" t="s">
        <v>137</v>
      </c>
      <c r="AZ10" t="s">
        <v>138</v>
      </c>
      <c r="BA10" t="s">
        <v>139</v>
      </c>
      <c r="BB10" t="s">
        <v>71</v>
      </c>
      <c r="BC10" t="s">
        <v>74</v>
      </c>
      <c r="BD10" t="s">
        <v>76</v>
      </c>
      <c r="BE10" t="s">
        <v>141</v>
      </c>
      <c r="BF10" t="s">
        <v>143</v>
      </c>
      <c r="BG10" t="s">
        <v>145</v>
      </c>
      <c r="BH10" t="s">
        <v>147</v>
      </c>
      <c r="BI10" t="s">
        <v>149</v>
      </c>
      <c r="BJ10" t="s">
        <v>147</v>
      </c>
      <c r="BK10" t="s">
        <v>151</v>
      </c>
      <c r="BL10" t="s">
        <v>153</v>
      </c>
      <c r="BM10" t="s">
        <v>155</v>
      </c>
      <c r="BN10" t="s">
        <v>157</v>
      </c>
      <c r="BO10" t="s">
        <v>159</v>
      </c>
      <c r="BP10" t="s">
        <v>161</v>
      </c>
      <c r="BQ10" t="s">
        <v>159</v>
      </c>
      <c r="BR10" t="s">
        <v>163</v>
      </c>
      <c r="BS10" t="s">
        <v>222</v>
      </c>
      <c r="BT10" t="s">
        <v>223</v>
      </c>
      <c r="BU10" t="s">
        <v>224</v>
      </c>
      <c r="BV10" t="s">
        <v>225</v>
      </c>
      <c r="BW10" t="s">
        <v>226</v>
      </c>
      <c r="BX10" t="s">
        <v>165</v>
      </c>
      <c r="BY10" t="s">
        <v>167</v>
      </c>
      <c r="BZ10" t="s">
        <v>169</v>
      </c>
      <c r="CA10" t="s">
        <v>171</v>
      </c>
      <c r="CB10" t="s">
        <v>173</v>
      </c>
      <c r="CC10" t="s">
        <v>171</v>
      </c>
      <c r="CD10" t="s">
        <v>175</v>
      </c>
    </row>
    <row r="12" spans="1:116" x14ac:dyDescent="0.45">
      <c r="A12" t="s">
        <v>2</v>
      </c>
      <c r="B12" t="s">
        <v>10</v>
      </c>
      <c r="C12" t="s">
        <v>19</v>
      </c>
      <c r="D12" s="10" t="s">
        <v>22</v>
      </c>
      <c r="E12" s="10" t="s">
        <v>24</v>
      </c>
      <c r="F12" s="10" t="s">
        <v>82</v>
      </c>
      <c r="G12" s="10" t="s">
        <v>26</v>
      </c>
      <c r="H12" s="10" t="s">
        <v>220</v>
      </c>
      <c r="I12" s="10" t="s">
        <v>221</v>
      </c>
      <c r="J12" s="10" t="s">
        <v>49</v>
      </c>
      <c r="K12" s="10" t="s">
        <v>47</v>
      </c>
      <c r="L12" s="10" t="s">
        <v>54</v>
      </c>
      <c r="M12" s="10" t="s">
        <v>88</v>
      </c>
      <c r="N12" s="10" t="s">
        <v>91</v>
      </c>
      <c r="O12" s="10" t="s">
        <v>94</v>
      </c>
      <c r="P12" s="10" t="s">
        <v>56</v>
      </c>
      <c r="Q12" s="10" t="s">
        <v>95</v>
      </c>
      <c r="R12" s="10" t="s">
        <v>96</v>
      </c>
      <c r="S12" s="10" t="s">
        <v>58</v>
      </c>
      <c r="T12" s="10" t="s">
        <v>97</v>
      </c>
      <c r="U12" s="10" t="s">
        <v>98</v>
      </c>
      <c r="V12" s="10" t="s">
        <v>29</v>
      </c>
      <c r="W12" s="10" t="s">
        <v>100</v>
      </c>
      <c r="X12" s="10" t="s">
        <v>35</v>
      </c>
      <c r="Y12" s="10" t="s">
        <v>39</v>
      </c>
      <c r="Z12" s="10" t="s">
        <v>101</v>
      </c>
      <c r="AA12" s="10" t="s">
        <v>62</v>
      </c>
      <c r="AB12" s="10" t="s">
        <v>67</v>
      </c>
      <c r="AC12" s="10" t="s">
        <v>104</v>
      </c>
      <c r="AD12" s="10" t="s">
        <v>106</v>
      </c>
      <c r="AE12" s="10" t="s">
        <v>108</v>
      </c>
      <c r="AF12" s="10" t="s">
        <v>110</v>
      </c>
      <c r="AG12" s="10" t="s">
        <v>113</v>
      </c>
      <c r="AH12" s="10" t="s">
        <v>115</v>
      </c>
      <c r="AI12" s="10" t="s">
        <v>117</v>
      </c>
      <c r="AJ12" s="10" t="s">
        <v>119</v>
      </c>
      <c r="AK12" s="10" t="s">
        <v>120</v>
      </c>
      <c r="AL12" s="10" t="s">
        <v>121</v>
      </c>
      <c r="AM12" s="10" t="s">
        <v>122</v>
      </c>
      <c r="AN12" s="10" t="s">
        <v>124</v>
      </c>
      <c r="AO12" s="10" t="s">
        <v>125</v>
      </c>
      <c r="AP12" s="10" t="s">
        <v>127</v>
      </c>
      <c r="AQ12" s="10" t="s">
        <v>129</v>
      </c>
      <c r="AR12" s="10" t="s">
        <v>130</v>
      </c>
      <c r="AS12" s="10" t="s">
        <v>131</v>
      </c>
      <c r="AT12" s="10" t="s">
        <v>132</v>
      </c>
      <c r="AU12" s="10" t="s">
        <v>78</v>
      </c>
      <c r="AV12" s="10" t="s">
        <v>134</v>
      </c>
      <c r="AW12" s="10" t="s">
        <v>135</v>
      </c>
      <c r="AX12" s="10" t="s">
        <v>137</v>
      </c>
      <c r="AY12" s="10" t="s">
        <v>138</v>
      </c>
      <c r="AZ12" s="10" t="s">
        <v>139</v>
      </c>
      <c r="BA12" s="10" t="s">
        <v>71</v>
      </c>
      <c r="BB12" s="10" t="s">
        <v>74</v>
      </c>
      <c r="BC12" s="10" t="s">
        <v>76</v>
      </c>
      <c r="BD12" s="10" t="s">
        <v>141</v>
      </c>
      <c r="BE12" s="10" t="s">
        <v>143</v>
      </c>
      <c r="BF12" s="10" t="s">
        <v>145</v>
      </c>
      <c r="BG12" s="10" t="s">
        <v>147</v>
      </c>
      <c r="BH12" s="10" t="s">
        <v>149</v>
      </c>
      <c r="BI12" s="10" t="s">
        <v>147</v>
      </c>
      <c r="BJ12" s="10" t="s">
        <v>151</v>
      </c>
      <c r="BK12" s="10" t="s">
        <v>153</v>
      </c>
      <c r="BL12" s="10" t="s">
        <v>155</v>
      </c>
      <c r="BM12" s="10" t="s">
        <v>157</v>
      </c>
      <c r="BN12" s="10" t="s">
        <v>159</v>
      </c>
      <c r="BO12" s="10" t="s">
        <v>161</v>
      </c>
      <c r="BP12" s="10" t="s">
        <v>159</v>
      </c>
      <c r="BQ12" s="10" t="s">
        <v>163</v>
      </c>
      <c r="BR12" s="10" t="s">
        <v>222</v>
      </c>
      <c r="BS12" s="10" t="s">
        <v>223</v>
      </c>
      <c r="BT12" s="10" t="s">
        <v>224</v>
      </c>
      <c r="BU12" s="10" t="s">
        <v>225</v>
      </c>
      <c r="BV12" s="10" t="s">
        <v>226</v>
      </c>
      <c r="BW12" s="10" t="s">
        <v>165</v>
      </c>
      <c r="BX12" s="10" t="s">
        <v>167</v>
      </c>
      <c r="BY12" s="10" t="s">
        <v>169</v>
      </c>
      <c r="BZ12" s="10" t="s">
        <v>171</v>
      </c>
      <c r="CA12" s="10" t="s">
        <v>173</v>
      </c>
      <c r="CB12" s="10" t="s">
        <v>171</v>
      </c>
      <c r="CC12" s="10" t="s">
        <v>175</v>
      </c>
    </row>
    <row r="13" spans="1:116" x14ac:dyDescent="0.45">
      <c r="A13" t="s">
        <v>2</v>
      </c>
      <c r="B13" t="s">
        <v>10</v>
      </c>
      <c r="C13" t="s">
        <v>20</v>
      </c>
      <c r="D13" s="10" t="s">
        <v>22</v>
      </c>
      <c r="E13" s="10" t="s">
        <v>24</v>
      </c>
      <c r="F13" s="10" t="s">
        <v>82</v>
      </c>
      <c r="G13" s="10" t="s">
        <v>26</v>
      </c>
      <c r="H13" s="10" t="s">
        <v>220</v>
      </c>
      <c r="I13" s="10" t="s">
        <v>221</v>
      </c>
      <c r="J13" s="10" t="s">
        <v>49</v>
      </c>
      <c r="K13" s="10" t="s">
        <v>47</v>
      </c>
      <c r="L13" s="10" t="s">
        <v>54</v>
      </c>
      <c r="M13" s="10" t="s">
        <v>88</v>
      </c>
      <c r="N13" s="10" t="s">
        <v>91</v>
      </c>
      <c r="O13" s="10" t="s">
        <v>94</v>
      </c>
      <c r="P13" s="10" t="s">
        <v>56</v>
      </c>
      <c r="Q13" s="10" t="s">
        <v>95</v>
      </c>
      <c r="R13" s="10" t="s">
        <v>96</v>
      </c>
      <c r="S13" s="10" t="s">
        <v>58</v>
      </c>
      <c r="T13" s="10" t="s">
        <v>97</v>
      </c>
      <c r="U13" s="10" t="s">
        <v>98</v>
      </c>
      <c r="V13" s="10" t="s">
        <v>29</v>
      </c>
      <c r="W13" s="10" t="s">
        <v>100</v>
      </c>
      <c r="X13" s="10" t="s">
        <v>37</v>
      </c>
      <c r="Y13" s="10" t="s">
        <v>42</v>
      </c>
      <c r="Z13" s="10" t="s">
        <v>101</v>
      </c>
      <c r="AA13" s="10" t="s">
        <v>62</v>
      </c>
      <c r="AB13" s="10" t="s">
        <v>67</v>
      </c>
      <c r="AC13" s="10" t="s">
        <v>104</v>
      </c>
      <c r="AD13" s="10" t="s">
        <v>106</v>
      </c>
      <c r="AE13" s="10" t="s">
        <v>108</v>
      </c>
      <c r="AF13" s="10" t="s">
        <v>110</v>
      </c>
      <c r="AG13" s="10" t="s">
        <v>113</v>
      </c>
      <c r="AH13" s="10" t="s">
        <v>115</v>
      </c>
      <c r="AI13" s="10" t="s">
        <v>117</v>
      </c>
      <c r="AJ13" s="10" t="s">
        <v>119</v>
      </c>
      <c r="AK13" s="10" t="s">
        <v>120</v>
      </c>
      <c r="AL13" s="10" t="s">
        <v>121</v>
      </c>
      <c r="AM13" s="10" t="s">
        <v>122</v>
      </c>
      <c r="AN13" s="10" t="s">
        <v>124</v>
      </c>
      <c r="AO13" s="10" t="s">
        <v>125</v>
      </c>
      <c r="AP13" s="10" t="s">
        <v>127</v>
      </c>
      <c r="AQ13" s="10" t="s">
        <v>129</v>
      </c>
      <c r="AR13" s="10" t="s">
        <v>130</v>
      </c>
      <c r="AS13" s="10" t="s">
        <v>131</v>
      </c>
      <c r="AT13" s="10" t="s">
        <v>132</v>
      </c>
      <c r="AU13" s="10" t="s">
        <v>78</v>
      </c>
      <c r="AV13" s="10" t="s">
        <v>134</v>
      </c>
      <c r="AW13" s="10" t="s">
        <v>135</v>
      </c>
      <c r="AX13" s="10" t="s">
        <v>137</v>
      </c>
      <c r="AY13" s="10" t="s">
        <v>138</v>
      </c>
      <c r="AZ13" s="10" t="s">
        <v>139</v>
      </c>
      <c r="BA13" s="10" t="s">
        <v>71</v>
      </c>
      <c r="BB13" s="10" t="s">
        <v>74</v>
      </c>
      <c r="BC13" s="10" t="s">
        <v>76</v>
      </c>
      <c r="BD13" s="10" t="s">
        <v>141</v>
      </c>
      <c r="BE13" s="10" t="s">
        <v>143</v>
      </c>
      <c r="BF13" s="10" t="s">
        <v>145</v>
      </c>
      <c r="BG13" s="10" t="s">
        <v>147</v>
      </c>
      <c r="BH13" s="10" t="s">
        <v>149</v>
      </c>
      <c r="BI13" s="10" t="s">
        <v>147</v>
      </c>
      <c r="BJ13" s="10" t="s">
        <v>151</v>
      </c>
      <c r="BK13" s="10" t="s">
        <v>153</v>
      </c>
      <c r="BL13" s="10" t="s">
        <v>155</v>
      </c>
      <c r="BM13" s="10" t="s">
        <v>157</v>
      </c>
      <c r="BN13" s="10" t="s">
        <v>159</v>
      </c>
      <c r="BO13" s="10" t="s">
        <v>161</v>
      </c>
      <c r="BP13" s="10" t="s">
        <v>159</v>
      </c>
      <c r="BQ13" s="10" t="s">
        <v>163</v>
      </c>
      <c r="BR13" s="10" t="s">
        <v>222</v>
      </c>
      <c r="BS13" s="10" t="s">
        <v>223</v>
      </c>
      <c r="BT13" s="10" t="s">
        <v>224</v>
      </c>
      <c r="BU13" s="10" t="s">
        <v>225</v>
      </c>
      <c r="BV13" s="10" t="s">
        <v>226</v>
      </c>
      <c r="BW13" s="10" t="s">
        <v>165</v>
      </c>
      <c r="BX13" s="10" t="s">
        <v>167</v>
      </c>
      <c r="BY13" s="10" t="s">
        <v>169</v>
      </c>
      <c r="BZ13" s="10" t="s">
        <v>171</v>
      </c>
      <c r="CA13" s="10" t="s">
        <v>173</v>
      </c>
      <c r="CB13" s="10" t="s">
        <v>171</v>
      </c>
      <c r="CC13" s="10" t="s">
        <v>175</v>
      </c>
    </row>
    <row r="14" spans="1:116" x14ac:dyDescent="0.45">
      <c r="A14" t="s">
        <v>2</v>
      </c>
      <c r="B14" t="s">
        <v>10</v>
      </c>
      <c r="C14" t="s">
        <v>328</v>
      </c>
      <c r="D14" s="10" t="s">
        <v>22</v>
      </c>
      <c r="E14" s="10" t="s">
        <v>24</v>
      </c>
      <c r="F14" s="10" t="s">
        <v>82</v>
      </c>
      <c r="G14" s="10" t="s">
        <v>25</v>
      </c>
      <c r="H14" s="10" t="s">
        <v>84</v>
      </c>
      <c r="I14" s="10" t="s">
        <v>86</v>
      </c>
      <c r="J14" s="10" t="s">
        <v>26</v>
      </c>
      <c r="K14" s="10" t="s">
        <v>220</v>
      </c>
      <c r="L14" s="10" t="s">
        <v>221</v>
      </c>
      <c r="M14" s="10" t="s">
        <v>49</v>
      </c>
      <c r="N14" s="10" t="s">
        <v>47</v>
      </c>
      <c r="O14" s="10" t="s">
        <v>54</v>
      </c>
      <c r="P14" s="10" t="s">
        <v>88</v>
      </c>
      <c r="Q14" s="10" t="s">
        <v>91</v>
      </c>
      <c r="R14" s="10" t="s">
        <v>94</v>
      </c>
      <c r="S14" s="10" t="s">
        <v>56</v>
      </c>
      <c r="T14" s="10" t="s">
        <v>95</v>
      </c>
      <c r="U14" s="10" t="s">
        <v>96</v>
      </c>
      <c r="V14" s="10" t="s">
        <v>58</v>
      </c>
      <c r="W14" s="10" t="s">
        <v>97</v>
      </c>
      <c r="X14" s="10" t="s">
        <v>98</v>
      </c>
      <c r="Y14" s="10" t="s">
        <v>29</v>
      </c>
      <c r="Z14" s="10" t="s">
        <v>100</v>
      </c>
      <c r="AA14" s="10" t="s">
        <v>35</v>
      </c>
      <c r="AB14" s="10" t="s">
        <v>39</v>
      </c>
      <c r="AC14" s="10" t="s">
        <v>101</v>
      </c>
      <c r="AD14" s="10" t="s">
        <v>62</v>
      </c>
      <c r="AE14" s="10" t="s">
        <v>67</v>
      </c>
      <c r="AF14" s="10" t="s">
        <v>104</v>
      </c>
      <c r="AG14" s="10" t="s">
        <v>106</v>
      </c>
      <c r="AH14" s="10" t="s">
        <v>108</v>
      </c>
      <c r="AI14" s="10" t="s">
        <v>110</v>
      </c>
      <c r="AJ14" s="10" t="s">
        <v>113</v>
      </c>
      <c r="AK14" s="10" t="s">
        <v>115</v>
      </c>
      <c r="AL14" s="10" t="s">
        <v>117</v>
      </c>
      <c r="AM14" s="10" t="s">
        <v>119</v>
      </c>
      <c r="AN14" s="10" t="s">
        <v>120</v>
      </c>
      <c r="AO14" s="10" t="s">
        <v>121</v>
      </c>
      <c r="AP14" s="10" t="s">
        <v>122</v>
      </c>
      <c r="AQ14" s="10" t="s">
        <v>124</v>
      </c>
      <c r="AR14" s="10" t="s">
        <v>125</v>
      </c>
      <c r="AS14" s="10" t="s">
        <v>127</v>
      </c>
      <c r="AT14" s="10" t="s">
        <v>129</v>
      </c>
      <c r="AU14" s="10" t="s">
        <v>130</v>
      </c>
      <c r="AV14" s="10" t="s">
        <v>131</v>
      </c>
      <c r="AW14" s="10" t="s">
        <v>132</v>
      </c>
      <c r="AX14" s="10" t="s">
        <v>78</v>
      </c>
      <c r="AY14" s="10" t="s">
        <v>134</v>
      </c>
      <c r="AZ14" s="10" t="s">
        <v>135</v>
      </c>
      <c r="BA14" s="10" t="s">
        <v>137</v>
      </c>
      <c r="BB14" s="10" t="s">
        <v>138</v>
      </c>
      <c r="BC14" s="10" t="s">
        <v>139</v>
      </c>
      <c r="BD14" s="10" t="s">
        <v>71</v>
      </c>
      <c r="BE14" s="10" t="s">
        <v>74</v>
      </c>
      <c r="BF14" s="10" t="s">
        <v>76</v>
      </c>
      <c r="BG14" s="10" t="s">
        <v>141</v>
      </c>
      <c r="BH14" s="10" t="s">
        <v>143</v>
      </c>
      <c r="BI14" s="10" t="s">
        <v>145</v>
      </c>
      <c r="BJ14" s="10" t="s">
        <v>149</v>
      </c>
      <c r="BK14" s="10" t="s">
        <v>151</v>
      </c>
      <c r="BL14" s="10" t="s">
        <v>153</v>
      </c>
      <c r="BM14" s="10" t="s">
        <v>155</v>
      </c>
      <c r="BN14" s="10" t="s">
        <v>157</v>
      </c>
      <c r="BO14" s="10" t="s">
        <v>161</v>
      </c>
      <c r="BP14" s="10" t="s">
        <v>163</v>
      </c>
      <c r="BQ14" s="10" t="s">
        <v>165</v>
      </c>
      <c r="BR14" s="10" t="s">
        <v>167</v>
      </c>
      <c r="BS14" s="10" t="s">
        <v>169</v>
      </c>
      <c r="BT14" s="10" t="s">
        <v>173</v>
      </c>
      <c r="BU14" s="10" t="s">
        <v>175</v>
      </c>
      <c r="BV14" s="10" t="s">
        <v>177</v>
      </c>
      <c r="BW14" s="10" t="s">
        <v>179</v>
      </c>
      <c r="BX14" s="10" t="s">
        <v>181</v>
      </c>
      <c r="BY14" s="10" t="s">
        <v>184</v>
      </c>
      <c r="BZ14" s="10" t="s">
        <v>186</v>
      </c>
      <c r="CA14" s="10" t="s">
        <v>188</v>
      </c>
      <c r="CB14" s="10" t="s">
        <v>190</v>
      </c>
      <c r="CC14" s="10" t="s">
        <v>192</v>
      </c>
      <c r="CD14" s="10" t="s">
        <v>195</v>
      </c>
      <c r="CE14" s="10" t="s">
        <v>197</v>
      </c>
      <c r="CF14" s="10" t="s">
        <v>199</v>
      </c>
      <c r="CG14" s="10" t="s">
        <v>201</v>
      </c>
      <c r="CH14" s="10" t="s">
        <v>203</v>
      </c>
      <c r="CI14" s="10" t="s">
        <v>206</v>
      </c>
      <c r="CJ14" s="10" t="s">
        <v>208</v>
      </c>
      <c r="CK14" s="10" t="s">
        <v>210</v>
      </c>
      <c r="CL14" s="10" t="s">
        <v>212</v>
      </c>
      <c r="CM14" s="10" t="s">
        <v>214</v>
      </c>
      <c r="CN14" s="10" t="s">
        <v>217</v>
      </c>
      <c r="CO14" s="10" t="s">
        <v>219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CE1D5-7690-4270-85D7-94B21E3D23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7F5002-1B59-4823-B95D-96CA571A6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d19505-5873-4cf7-b98f-ab573d793237"/>
    <ds:schemaRef ds:uri="7ff01d4a-d9bd-4f1d-8d9e-0fa88185b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DCE595-EE4D-42CF-9865-058576E8EF32}">
  <ds:schemaRefs>
    <ds:schemaRef ds:uri="http://schemas.microsoft.com/office/2006/metadata/properties"/>
    <ds:schemaRef ds:uri="http://schemas.microsoft.com/office/infopath/2007/PartnerControls"/>
    <ds:schemaRef ds:uri="7ff01d4a-d9bd-4f1d-8d9e-0fa88185bc99"/>
    <ds:schemaRef ds:uri="16d19505-5873-4cf7-b98f-ab573d7932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Mapping</vt:lpstr>
      <vt:lpstr>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jaesuk cho</cp:lastModifiedBy>
  <cp:revision/>
  <dcterms:created xsi:type="dcterms:W3CDTF">2025-05-07T08:42:49Z</dcterms:created>
  <dcterms:modified xsi:type="dcterms:W3CDTF">2025-08-28T06:32:42Z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